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ctiveTab="0" autoFilterDateGrouping="1"/>
  </bookViews>
  <sheets>
    <sheet name="RTD" sheetId="1" state="visible" r:id="rId1"/>
    <sheet name="LT" sheetId="2" state="visible" r:id="rId2"/>
    <sheet name="PT" sheetId="3" state="visible" r:id="rId3"/>
    <sheet name="FT" sheetId="4" state="visible" r:id="rId4"/>
    <sheet name="MCV" sheetId="5" state="visible" r:id="rId5"/>
    <sheet name="FSV&amp;PCV" sheetId="6" state="visible" r:id="rId6"/>
    <sheet name="SOV" sheetId="7" state="visible" r:id="rId7"/>
    <sheet name="POS'R" sheetId="8" state="visible" r:id="rId8"/>
    <sheet name="LOAD CELL" sheetId="9" state="visible" r:id="rId9"/>
    <sheet name="Analyser" sheetId="10" state="visible" r:id="rId10"/>
    <sheet name="Sheet1" sheetId="11" state="visible" r:id="rId11"/>
    <sheet name="AIR COMPRESSOR" sheetId="12" state="visible" r:id="rId12"/>
    <sheet name="Sheet2" sheetId="13" state="visible" r:id="rId13"/>
  </sheets>
  <definedNames>
    <definedName name="_xlnm.Print_Area" localSheetId="1">'LT'!$A$1:$O$9</definedName>
    <definedName name="_xlnm.Print_Area" localSheetId="2">'PT'!$E$1:$O$47</definedName>
    <definedName name="_xlnm.Print_Area" localSheetId="3">'FT'!$C$1:$N$20</definedName>
    <definedName name="_xlnm.Print_Area" localSheetId="9">'Analyser'!$A$1:$M$22</definedName>
    <definedName name="_xlnm.Print_Area" localSheetId="10">'Sheet1'!$A$1:$J$137</definedName>
    <definedName name="_xlnm.Print_Area" localSheetId="11">'AIR COMPRESSOR'!$A$1:$N$22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22"/>
      <scheme val="minor"/>
    </font>
    <font>
      <name val="Arial"/>
      <family val="2"/>
      <sz val="10.5"/>
    </font>
    <font>
      <name val="Arial"/>
      <family val="2"/>
      <b val="1"/>
      <sz val="10.5"/>
    </font>
    <font>
      <name val="Arial"/>
      <family val="2"/>
      <sz val="12"/>
    </font>
    <font>
      <name val="Calibri"/>
      <family val="2"/>
      <color theme="1"/>
      <sz val="16"/>
      <scheme val="minor"/>
    </font>
    <font>
      <name val="Calibri"/>
      <family val="2"/>
      <color theme="1"/>
      <sz val="14"/>
      <scheme val="minor"/>
    </font>
    <font>
      <name val="Arial"/>
      <family val="2"/>
      <sz val="9"/>
    </font>
    <font>
      <name val="Arial"/>
      <family val="2"/>
      <sz val="8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sz val="14"/>
    </font>
    <font>
      <name val="Arial"/>
      <family val="2"/>
      <sz val="11"/>
    </font>
    <font>
      <name val="Arial"/>
      <family val="2"/>
      <color indexed="8"/>
      <sz val="11"/>
    </font>
    <font>
      <name val="Arial"/>
      <family val="2"/>
      <color rgb="FF000000"/>
      <sz val="11"/>
    </font>
    <font>
      <name val="Arial"/>
      <family val="2"/>
      <color indexed="8"/>
      <sz val="11"/>
      <vertAlign val="superscript"/>
    </font>
    <font>
      <name val="Arial"/>
      <family val="2"/>
      <color indexed="8"/>
      <sz val="14"/>
    </font>
    <font>
      <name val="Arial"/>
      <family val="2"/>
      <color rgb="FF000000"/>
      <sz val="14"/>
    </font>
    <font>
      <name val="Arial"/>
      <family val="2"/>
      <color indexed="8"/>
      <sz val="14"/>
      <vertAlign val="superscript"/>
    </font>
    <font>
      <name val="宋体"/>
      <charset val="134"/>
      <color indexed="8"/>
      <sz val="14"/>
    </font>
    <font>
      <name val="Arial"/>
      <family val="2"/>
      <sz val="16"/>
    </font>
    <font>
      <name val="Arial"/>
      <family val="2"/>
      <b val="1"/>
      <sz val="11"/>
    </font>
    <font>
      <name val="Arial"/>
      <family val="2"/>
      <color theme="1" tint="0.0499893185216834"/>
      <sz val="11"/>
    </font>
    <font>
      <name val="Arial"/>
      <family val="2"/>
      <b val="1"/>
      <sz val="16"/>
    </font>
    <font>
      <name val="Arial"/>
      <family val="2"/>
      <color theme="1" tint="0.0499893185216834"/>
      <sz val="16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399975585192419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2" fillId="0" borderId="0"/>
  </cellStyleXfs>
  <cellXfs count="290">
    <xf numFmtId="0" fontId="0" fillId="0" borderId="0" pivotButton="0" quotePrefix="0" xfId="0"/>
    <xf numFmtId="0" fontId="2" fillId="0" borderId="2" applyAlignment="1" pivotButton="0" quotePrefix="0" xfId="1">
      <alignment horizontal="center" vertical="center"/>
    </xf>
    <xf numFmtId="0" fontId="3" fillId="0" borderId="2" applyAlignment="1" pivotButton="0" quotePrefix="0" xfId="2">
      <alignment horizontal="center" vertical="center"/>
    </xf>
    <xf numFmtId="0" fontId="3" fillId="0" borderId="2" applyAlignment="1" pivotButton="0" quotePrefix="0" xfId="2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2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1" fillId="0" borderId="4" applyAlignment="1" pivotButton="0" quotePrefix="0" xfId="2">
      <alignment horizontal="center" vertical="center"/>
    </xf>
    <xf numFmtId="0" fontId="0" fillId="0" borderId="2" pivotButton="0" quotePrefix="0" xfId="0"/>
    <xf numFmtId="0" fontId="0" fillId="0" borderId="3" applyAlignment="1" pivotButton="0" quotePrefix="0" xfId="0">
      <alignment vertical="center" wrapText="1"/>
    </xf>
    <xf numFmtId="0" fontId="3" fillId="0" borderId="3" applyAlignment="1" pivotButton="0" quotePrefix="0" xfId="2">
      <alignment vertical="center"/>
    </xf>
    <xf numFmtId="0" fontId="3" fillId="0" borderId="2" applyAlignment="1" pivotButton="0" quotePrefix="0" xfId="2">
      <alignment vertical="center"/>
    </xf>
    <xf numFmtId="0" fontId="0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3" fillId="3" borderId="2" applyAlignment="1" pivotButton="0" quotePrefix="0" xfId="2">
      <alignment horizontal="center" vertical="center"/>
    </xf>
    <xf numFmtId="0" fontId="0" fillId="0" borderId="2" applyAlignment="1" pivotButton="0" quotePrefix="0" xfId="0">
      <alignment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2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0" fillId="4" borderId="4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0" fontId="0" fillId="4" borderId="3" applyAlignment="1" pivotButton="0" quotePrefix="0" xfId="0">
      <alignment horizontal="center" vertical="center"/>
    </xf>
    <xf numFmtId="0" fontId="0" fillId="4" borderId="5" applyAlignment="1" pivotButton="0" quotePrefix="0" xfId="0">
      <alignment vertical="center"/>
    </xf>
    <xf numFmtId="0" fontId="0" fillId="4" borderId="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 wrapText="1"/>
    </xf>
    <xf numFmtId="0" fontId="6" fillId="4" borderId="14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1" fillId="0" borderId="2" applyAlignment="1" pivotButton="0" quotePrefix="0" xfId="2">
      <alignment horizontal="center" vertical="center" wrapText="1"/>
    </xf>
    <xf numFmtId="0" fontId="0" fillId="0" borderId="2" applyAlignment="1" pivotButton="0" quotePrefix="0" xfId="2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0" fontId="0" fillId="0" borderId="2" applyAlignment="1" pivotButton="0" quotePrefix="0" xfId="0">
      <alignment horizontal="center" wrapText="1"/>
    </xf>
    <xf numFmtId="0" fontId="0" fillId="0" borderId="2" applyAlignment="1" pivotButton="0" quotePrefix="0" xfId="0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5" applyAlignment="1" pivotButton="0" quotePrefix="0" xfId="2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2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1">
      <alignment horizontal="center" wrapText="1"/>
    </xf>
    <xf numFmtId="0" fontId="2" fillId="0" borderId="2" applyAlignment="1" pivotButton="0" quotePrefix="0" xfId="3">
      <alignment horizontal="center" wrapText="1"/>
    </xf>
    <xf numFmtId="0" fontId="11" fillId="0" borderId="2" applyAlignment="1" pivotButton="0" quotePrefix="0" xfId="1">
      <alignment horizontal="center"/>
    </xf>
    <xf numFmtId="0" fontId="10" fillId="0" borderId="2" applyAlignment="1" pivotButton="0" quotePrefix="0" xfId="1">
      <alignment horizontal="center"/>
    </xf>
    <xf numFmtId="0" fontId="2" fillId="0" borderId="2" applyAlignment="1" pivotButton="0" quotePrefix="0" xfId="1">
      <alignment horizontal="center" wrapText="1"/>
    </xf>
    <xf numFmtId="0" fontId="2" fillId="0" borderId="2" applyAlignment="1" pivotButton="0" quotePrefix="0" xfId="1">
      <alignment horizontal="center"/>
    </xf>
    <xf numFmtId="0" fontId="0" fillId="6" borderId="2" applyAlignment="1" pivotButton="0" quotePrefix="0" xfId="0">
      <alignment horizontal="center" vertical="center"/>
    </xf>
    <xf numFmtId="0" fontId="2" fillId="0" borderId="2" applyAlignment="1" pivotButton="0" quotePrefix="0" xfId="3">
      <alignment horizontal="center" vertical="center" wrapText="1"/>
    </xf>
    <xf numFmtId="0" fontId="11" fillId="2" borderId="2" applyAlignment="1" pivotButton="0" quotePrefix="0" xfId="1">
      <alignment horizontal="center" vertical="center"/>
    </xf>
    <xf numFmtId="0" fontId="10" fillId="0" borderId="2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 wrapText="1"/>
    </xf>
    <xf numFmtId="0" fontId="10" fillId="0" borderId="2" applyAlignment="1" pivotButton="0" quotePrefix="0" xfId="1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6" fillId="4" borderId="4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9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wrapText="1"/>
    </xf>
    <xf numFmtId="0" fontId="9" fillId="4" borderId="3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1">
      <alignment horizontal="center" vertical="center" wrapText="1"/>
    </xf>
    <xf numFmtId="0" fontId="9" fillId="0" borderId="2" applyAlignment="1" pivotButton="0" quotePrefix="0" xfId="2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15" fillId="5" borderId="10" applyAlignment="1" pivotButton="0" quotePrefix="0" xfId="0">
      <alignment horizontal="center" vertical="center"/>
    </xf>
    <xf numFmtId="0" fontId="15" fillId="5" borderId="11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/>
    </xf>
    <xf numFmtId="0" fontId="15" fillId="5" borderId="11" applyAlignment="1" pivotButton="0" quotePrefix="0" xfId="0">
      <alignment horizontal="center" vertical="center" wrapText="1" shrinkToFit="1"/>
    </xf>
    <xf numFmtId="0" fontId="15" fillId="0" borderId="12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15" fillId="0" borderId="13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 wrapText="1"/>
    </xf>
    <xf numFmtId="0" fontId="21" fillId="3" borderId="2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center" vertical="center"/>
    </xf>
    <xf numFmtId="0" fontId="21" fillId="3" borderId="2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9" fillId="0" borderId="0" pivotButton="0" quotePrefix="0" xfId="0"/>
    <xf numFmtId="0" fontId="8" fillId="4" borderId="4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2" pivotButton="0" quotePrefix="0" xfId="0"/>
    <xf numFmtId="0" fontId="8" fillId="0" borderId="0" pivotButton="0" quotePrefix="0" xfId="0"/>
    <xf numFmtId="0" fontId="25" fillId="4" borderId="11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 wrapText="1"/>
    </xf>
    <xf numFmtId="0" fontId="16" fillId="3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 wrapText="1"/>
    </xf>
    <xf numFmtId="0" fontId="16" fillId="3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 wrapText="1"/>
    </xf>
    <xf numFmtId="0" fontId="26" fillId="0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wrapText="1" shrinkToFit="1"/>
    </xf>
    <xf numFmtId="0" fontId="0" fillId="0" borderId="0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24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27" fillId="4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8" fillId="3" borderId="5" applyAlignment="1" pivotButton="0" quotePrefix="0" xfId="0">
      <alignment horizontal="center" vertical="center"/>
    </xf>
    <xf numFmtId="0" fontId="8" fillId="0" borderId="0" applyAlignment="1" pivotButton="0" quotePrefix="0" xfId="0">
      <alignment wrapText="1"/>
    </xf>
    <xf numFmtId="0" fontId="24" fillId="0" borderId="8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center" vertical="center" wrapText="1"/>
    </xf>
    <xf numFmtId="0" fontId="9" fillId="4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top" wrapText="1"/>
    </xf>
    <xf numFmtId="0" fontId="9" fillId="0" borderId="2" applyAlignment="1" pivotButton="0" quotePrefix="0" xfId="0">
      <alignment horizontal="center"/>
    </xf>
    <xf numFmtId="0" fontId="9" fillId="0" borderId="2" pivotButton="0" quotePrefix="0" xfId="0"/>
    <xf numFmtId="0" fontId="9" fillId="0" borderId="0" pivotButton="0" quotePrefix="0" xfId="0"/>
    <xf numFmtId="0" fontId="13" fillId="0" borderId="1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/>
    </xf>
    <xf numFmtId="0" fontId="9" fillId="0" borderId="13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29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 wrapText="1"/>
    </xf>
    <xf numFmtId="0" fontId="0" fillId="3" borderId="3" pivotButton="0" quotePrefix="0" xfId="0"/>
    <xf numFmtId="0" fontId="0" fillId="0" borderId="3" applyAlignment="1" pivotButton="0" quotePrefix="0" xfId="0">
      <alignment wrapText="1"/>
    </xf>
    <xf numFmtId="0" fontId="0" fillId="0" borderId="3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20" fillId="0" borderId="5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 wrapText="1"/>
    </xf>
    <xf numFmtId="0" fontId="21" fillId="3" borderId="3" applyAlignment="1" pivotButton="0" quotePrefix="0" xfId="0">
      <alignment horizontal="center" vertical="center" wrapText="1"/>
    </xf>
    <xf numFmtId="0" fontId="9" fillId="0" borderId="3" pivotButton="0" quotePrefix="0" xfId="0"/>
    <xf numFmtId="0" fontId="5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 shrinkToFit="1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2" applyAlignment="1" pivotButton="0" quotePrefix="0" xfId="2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1">
      <alignment horizontal="center" vertical="center"/>
    </xf>
    <xf numFmtId="0" fontId="2" fillId="0" borderId="5" applyAlignment="1" pivotButton="0" quotePrefix="0" xfId="1">
      <alignment horizontal="center" vertical="center"/>
    </xf>
    <xf numFmtId="0" fontId="2" fillId="0" borderId="4" applyAlignment="1" pivotButton="0" quotePrefix="0" xfId="1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wrapText="1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/>
    </xf>
    <xf numFmtId="0" fontId="9" fillId="0" borderId="19" applyAlignment="1" pivotButton="0" quotePrefix="0" xfId="0">
      <alignment horizontal="center"/>
    </xf>
    <xf numFmtId="0" fontId="9" fillId="0" borderId="15" applyAlignment="1" pivotButton="0" quotePrefix="0" xfId="0">
      <alignment horizontal="center"/>
    </xf>
    <xf numFmtId="0" fontId="9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6" pivotButton="0" quotePrefix="0" xfId="0"/>
    <xf numFmtId="0" fontId="0" fillId="0" borderId="2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9" fillId="0" borderId="12" applyAlignment="1" pivotButton="0" quotePrefix="0" xfId="0">
      <alignment horizontal="center"/>
    </xf>
    <xf numFmtId="0" fontId="0" fillId="0" borderId="19" pivotButton="0" quotePrefix="0" xfId="0"/>
    <xf numFmtId="0" fontId="0" fillId="0" borderId="15" pivotButton="0" quotePrefix="0" xfId="0"/>
  </cellXfs>
  <cellStyles count="4">
    <cellStyle name="Normal" xfId="0" builtinId="0"/>
    <cellStyle name="Normal 2" xfId="1"/>
    <cellStyle name="Normal 6" xfId="2"/>
    <cellStyle name="Normal 2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6"/>
  <sheetViews>
    <sheetView tabSelected="1" topLeftCell="C25" zoomScaleNormal="100" workbookViewId="0">
      <selection activeCell="M10" sqref="M10:M26"/>
    </sheetView>
  </sheetViews>
  <sheetFormatPr baseColWidth="8" defaultRowHeight="15"/>
  <cols>
    <col width="4.42578125" customWidth="1" style="126" min="1" max="1"/>
    <col width="22" customWidth="1" style="126" min="2" max="2"/>
    <col width="8.5703125" customWidth="1" style="126" min="3" max="3"/>
    <col width="41.42578125" customWidth="1" style="126" min="6" max="6"/>
    <col width="37.140625" customWidth="1" style="126" min="7" max="7"/>
    <col width="9.140625" customWidth="1" style="162" min="8" max="8"/>
    <col width="7" customWidth="1" style="162" min="9" max="9"/>
    <col width="6.85546875" customWidth="1" style="162" min="10" max="10"/>
    <col width="7.140625" customWidth="1" style="162" min="11" max="11"/>
    <col width="6.85546875" customWidth="1" style="162" min="12" max="12"/>
    <col width="7.85546875" customWidth="1" style="162" min="13" max="13"/>
    <col width="6.5703125" customWidth="1" style="162" min="14" max="14"/>
    <col width="20.85546875" customWidth="1" style="162" min="15" max="15"/>
  </cols>
  <sheetData>
    <row r="1" ht="30" customHeight="1" s="126">
      <c r="A1" s="236" t="inlineStr">
        <is>
          <t>SPARES FOR PR</t>
        </is>
      </c>
      <c r="B1" s="277" t="n"/>
      <c r="C1" s="277" t="n"/>
      <c r="D1" s="277" t="n"/>
      <c r="E1" s="277" t="n"/>
      <c r="F1" s="277" t="n"/>
      <c r="G1" s="278" t="n"/>
      <c r="H1" s="270" t="n"/>
      <c r="I1" s="235" t="inlineStr">
        <is>
          <t>CHECKLIST</t>
        </is>
      </c>
      <c r="J1" s="277" t="n"/>
      <c r="K1" s="277" t="n"/>
      <c r="L1" s="277" t="n"/>
      <c r="M1" s="277" t="n"/>
      <c r="N1" s="278" t="n"/>
      <c r="O1" s="203" t="inlineStr">
        <is>
          <t>Spare to be indent</t>
        </is>
      </c>
    </row>
    <row r="2" ht="21.75" customHeight="1" s="126">
      <c r="A2" s="5" t="inlineStr">
        <is>
          <t>SL.NO</t>
        </is>
      </c>
      <c r="B2" s="43" t="inlineStr">
        <is>
          <t>INSTRUMENT</t>
        </is>
      </c>
      <c r="C2" s="122" t="inlineStr">
        <is>
          <t xml:space="preserve"> Qty Instld</t>
        </is>
      </c>
      <c r="D2" s="43" t="inlineStr">
        <is>
          <t>Qty Req</t>
        </is>
      </c>
      <c r="E2" s="43" t="inlineStr">
        <is>
          <t>TAG NO</t>
        </is>
      </c>
      <c r="F2" s="122" t="inlineStr">
        <is>
          <t>DESCRIPTION</t>
        </is>
      </c>
      <c r="G2" s="94" t="inlineStr">
        <is>
          <t>INSTALATION SITE</t>
        </is>
      </c>
      <c r="H2" s="123" t="inlineStr">
        <is>
          <t>AVAILABLE</t>
        </is>
      </c>
      <c r="I2" s="123" t="inlineStr">
        <is>
          <t>JUL</t>
        </is>
      </c>
      <c r="J2" s="123" t="inlineStr">
        <is>
          <t>AUG</t>
        </is>
      </c>
      <c r="K2" s="123" t="inlineStr">
        <is>
          <t>SEP</t>
        </is>
      </c>
      <c r="L2" s="123" t="inlineStr">
        <is>
          <t>OCT</t>
        </is>
      </c>
      <c r="M2" s="123" t="inlineStr">
        <is>
          <t>NOV</t>
        </is>
      </c>
      <c r="N2" s="123" t="inlineStr">
        <is>
          <t>DEC</t>
        </is>
      </c>
      <c r="O2" s="210" t="inlineStr">
        <is>
          <t>Qty</t>
        </is>
      </c>
    </row>
    <row r="3" ht="66" customHeight="1" s="126">
      <c r="A3" s="162" t="n">
        <v>1</v>
      </c>
      <c r="B3" s="270" t="inlineStr">
        <is>
          <t>PCI_THERMOCOUPLE</t>
        </is>
      </c>
      <c r="C3" s="270" t="n">
        <v>1</v>
      </c>
      <c r="D3" s="271" t="n">
        <v>1</v>
      </c>
      <c r="E3" s="1" t="inlineStr">
        <is>
          <t>TE202</t>
        </is>
      </c>
      <c r="F3" s="11" t="inlineStr">
        <is>
          <t>0 - 1200℃ graduation No. S, ø20 corundum ferrule-type flange matched with one nos. of flange with the same model, length 1200mm, explsion-proof type</t>
        </is>
      </c>
      <c r="G3" s="71" t="inlineStr">
        <is>
          <t>HGG inside temp</t>
        </is>
      </c>
      <c r="H3" s="270" t="n">
        <v>1</v>
      </c>
      <c r="I3" s="270" t="n">
        <v>1</v>
      </c>
      <c r="J3" s="270" t="n">
        <v>1</v>
      </c>
      <c r="K3" s="270" t="n">
        <v>1</v>
      </c>
      <c r="L3" s="270" t="n">
        <v>1</v>
      </c>
      <c r="M3" s="270" t="n"/>
      <c r="N3" s="270" t="n"/>
      <c r="O3" s="210">
        <f>SUM(D3-H3)</f>
        <v/>
      </c>
    </row>
    <row r="4" ht="45" customHeight="1" s="126">
      <c r="A4" s="234" t="n">
        <v>2</v>
      </c>
      <c r="B4" s="270" t="inlineStr">
        <is>
          <t>PCI_RTD-PT100</t>
        </is>
      </c>
      <c r="C4" s="270" t="n">
        <v>2</v>
      </c>
      <c r="D4" s="271" t="n">
        <v>1</v>
      </c>
      <c r="E4" s="12" t="inlineStr">
        <is>
          <t>TE201</t>
        </is>
      </c>
      <c r="F4" s="279" t="inlineStr">
        <is>
          <t>Graduation No. Pt100, 0 - 100℃, ø16 armored 304 protecting tube, M27×2 matched base with fixed thread, insertion length 100mm, total length 300mm, wear-resistant &amp; explosion-proof type</t>
        </is>
      </c>
      <c r="G4" s="71" t="inlineStr">
        <is>
          <t>BFG Temp at HGG inlet</t>
        </is>
      </c>
      <c r="H4" s="270" t="n">
        <v>2</v>
      </c>
      <c r="I4" s="270" t="n">
        <v>2</v>
      </c>
      <c r="J4" s="270" t="n">
        <v>2</v>
      </c>
      <c r="K4" s="270" t="n">
        <v>2</v>
      </c>
      <c r="L4" s="270" t="n">
        <v>2</v>
      </c>
      <c r="M4" s="270" t="n"/>
      <c r="N4" s="270" t="n"/>
      <c r="O4" s="210">
        <f>SUM(D4-H4)</f>
        <v/>
      </c>
    </row>
    <row r="5" ht="34.5" customHeight="1" s="126">
      <c r="A5" s="280" t="n"/>
      <c r="B5" s="281" t="n"/>
      <c r="C5" s="281" t="n"/>
      <c r="D5" s="281" t="n"/>
      <c r="E5" s="12" t="inlineStr">
        <is>
          <t>TE203</t>
        </is>
      </c>
      <c r="F5" s="282" t="n"/>
      <c r="G5" s="71" t="inlineStr">
        <is>
          <t>CA Temp at HGG inlet</t>
        </is>
      </c>
      <c r="H5" s="281" t="n"/>
      <c r="I5" s="281" t="n"/>
      <c r="J5" s="281" t="n"/>
      <c r="K5" s="281" t="n"/>
      <c r="L5" s="281" t="n"/>
      <c r="M5" s="281" t="n"/>
      <c r="N5" s="281" t="n"/>
      <c r="O5" s="210">
        <f>SUM(D5-H5)</f>
        <v/>
      </c>
    </row>
    <row r="6" ht="74.25" customHeight="1" s="126">
      <c r="A6" s="234" t="n">
        <v>3</v>
      </c>
      <c r="B6" s="270" t="inlineStr">
        <is>
          <t>PCI_RTD-PT100</t>
        </is>
      </c>
      <c r="C6" s="270" t="n">
        <v>4</v>
      </c>
      <c r="D6" s="271" t="n">
        <v>1</v>
      </c>
      <c r="E6" s="12" t="inlineStr">
        <is>
          <t>TE204</t>
        </is>
      </c>
      <c r="F6" s="11" t="inlineStr">
        <is>
          <t>Graduation No. Pt100, 0 - 600℃, ø16 armored 304 protecting tube, M27×2 matched base with fixed thread, insertion length 300mm, total length 600mm, wear-resistant &amp; explosion-proof type</t>
        </is>
      </c>
      <c r="G6" s="71" t="inlineStr">
        <is>
          <t>Mill inlet Hot Gas Temp</t>
        </is>
      </c>
      <c r="H6" s="270" t="n">
        <v>3</v>
      </c>
      <c r="I6" s="270" t="n">
        <v>3</v>
      </c>
      <c r="J6" s="270" t="n">
        <v>3</v>
      </c>
      <c r="K6" s="270" t="n">
        <v>3</v>
      </c>
      <c r="L6" s="270" t="n">
        <v>3</v>
      </c>
      <c r="M6" s="270" t="n"/>
      <c r="N6" s="270" t="n"/>
      <c r="O6" s="210">
        <f>SUM(D6-H6)</f>
        <v/>
      </c>
    </row>
    <row r="7" ht="35.25" customHeight="1" s="126">
      <c r="A7" s="280" t="n"/>
      <c r="B7" s="283" t="n"/>
      <c r="C7" s="283" t="n"/>
      <c r="D7" s="283" t="n"/>
      <c r="E7" s="12" t="inlineStr">
        <is>
          <t>TE319A</t>
        </is>
      </c>
      <c r="F7" s="279" t="inlineStr">
        <is>
          <t>Graduation No. Pt100, 0 - 200℃, ø16 armored 304 protecting tube, M27×2 matched base with fixed thread, insertion length 300mm, total length 600mm, wear-resistant &amp; explosion-proof type</t>
        </is>
      </c>
      <c r="G7" s="71" t="inlineStr">
        <is>
          <t>Mill outlet Gas Temp-1</t>
        </is>
      </c>
      <c r="H7" s="283" t="n"/>
      <c r="I7" s="283" t="n"/>
      <c r="J7" s="283" t="n"/>
      <c r="K7" s="283" t="n"/>
      <c r="L7" s="283" t="n"/>
      <c r="M7" s="283" t="n"/>
      <c r="N7" s="283" t="n"/>
      <c r="O7" s="210">
        <f>SUM(D7-H7)</f>
        <v/>
      </c>
    </row>
    <row r="8" ht="27.75" customHeight="1" s="126">
      <c r="A8" s="280" t="n"/>
      <c r="B8" s="283" t="n"/>
      <c r="C8" s="283" t="n"/>
      <c r="D8" s="283" t="n"/>
      <c r="E8" s="12" t="inlineStr">
        <is>
          <t>TE319B</t>
        </is>
      </c>
      <c r="F8" s="284" t="n"/>
      <c r="G8" s="71" t="inlineStr">
        <is>
          <t>Mill outlet Gas Temp-2</t>
        </is>
      </c>
      <c r="H8" s="283" t="n"/>
      <c r="I8" s="283" t="n"/>
      <c r="J8" s="283" t="n"/>
      <c r="K8" s="283" t="n"/>
      <c r="L8" s="283" t="n"/>
      <c r="M8" s="283" t="n"/>
      <c r="N8" s="283" t="n"/>
      <c r="O8" s="210">
        <f>SUM(D8-H8)</f>
        <v/>
      </c>
    </row>
    <row r="9" ht="30" customHeight="1" s="126">
      <c r="A9" s="280" t="n"/>
      <c r="B9" s="281" t="n"/>
      <c r="C9" s="281" t="n"/>
      <c r="D9" s="281" t="n"/>
      <c r="E9" s="12" t="inlineStr">
        <is>
          <t>TE320</t>
        </is>
      </c>
      <c r="F9" s="282" t="n"/>
      <c r="G9" s="71" t="inlineStr">
        <is>
          <t>Bag filter inlet temp</t>
        </is>
      </c>
      <c r="H9" s="281" t="n"/>
      <c r="I9" s="281" t="n"/>
      <c r="J9" s="281" t="n"/>
      <c r="K9" s="281" t="n"/>
      <c r="L9" s="281" t="n"/>
      <c r="M9" s="281" t="n"/>
      <c r="N9" s="281" t="n"/>
      <c r="O9" s="210">
        <f>SUM(D9-H9)</f>
        <v/>
      </c>
    </row>
    <row r="10">
      <c r="A10" s="234" t="n">
        <v>4</v>
      </c>
      <c r="B10" s="270" t="inlineStr">
        <is>
          <t>PCI_RTD-PT100</t>
        </is>
      </c>
      <c r="C10" s="270" t="n">
        <v>17</v>
      </c>
      <c r="D10" s="271" t="n">
        <v>5</v>
      </c>
      <c r="E10" s="12" t="inlineStr">
        <is>
          <t>TE205</t>
        </is>
      </c>
      <c r="F10" s="248" t="inlineStr">
        <is>
          <t>Graduation No. Pt100, 0 - 100℃, ø16 armored 304 protecting tube, M27×2 matched base with fixed thread, insertion length 300mm, total length 500mm, wear-resistant &amp; explosion-proof type</t>
        </is>
      </c>
      <c r="G10" s="71" t="inlineStr">
        <is>
          <t>HGG inlet recirculation gas temperature</t>
        </is>
      </c>
      <c r="H10" s="270" t="n">
        <v>6</v>
      </c>
      <c r="I10" s="270" t="n">
        <v>6</v>
      </c>
      <c r="J10" s="270" t="n">
        <v>6</v>
      </c>
      <c r="K10" s="270" t="n">
        <v>6</v>
      </c>
      <c r="L10" s="270" t="n">
        <v>6</v>
      </c>
      <c r="M10" s="270" t="n"/>
      <c r="N10" s="270" t="n"/>
      <c r="O10" s="210">
        <f>SUM(D10-H10)</f>
        <v/>
      </c>
    </row>
    <row r="11">
      <c r="A11" s="280" t="n"/>
      <c r="B11" s="283" t="n"/>
      <c r="C11" s="283" t="n"/>
      <c r="D11" s="283" t="n"/>
      <c r="E11" s="12" t="inlineStr">
        <is>
          <t>TE321</t>
        </is>
      </c>
      <c r="F11" s="283" t="n"/>
      <c r="G11" s="71" t="inlineStr">
        <is>
          <t>Bag filter outlet temp</t>
        </is>
      </c>
      <c r="H11" s="283" t="n"/>
      <c r="I11" s="283" t="n"/>
      <c r="J11" s="283" t="n"/>
      <c r="K11" s="283" t="n"/>
      <c r="L11" s="283" t="n"/>
      <c r="M11" s="283" t="n"/>
      <c r="N11" s="283" t="n"/>
      <c r="O11" s="210">
        <f>SUM(D11-H11)</f>
        <v/>
      </c>
    </row>
    <row r="12">
      <c r="A12" s="280" t="n"/>
      <c r="B12" s="283" t="n"/>
      <c r="C12" s="283" t="n"/>
      <c r="D12" s="283" t="n"/>
      <c r="E12" s="12" t="inlineStr">
        <is>
          <t>TE330</t>
        </is>
      </c>
      <c r="F12" s="283" t="n"/>
      <c r="G12" s="71" t="inlineStr">
        <is>
          <t>Chimney inside Temp</t>
        </is>
      </c>
      <c r="H12" s="283" t="n"/>
      <c r="I12" s="283" t="n"/>
      <c r="J12" s="283" t="n"/>
      <c r="K12" s="283" t="n"/>
      <c r="L12" s="283" t="n"/>
      <c r="M12" s="283" t="n"/>
      <c r="N12" s="283" t="n"/>
      <c r="O12" s="210">
        <f>SUM(D12-H12)</f>
        <v/>
      </c>
    </row>
    <row r="13">
      <c r="A13" s="280" t="n"/>
      <c r="B13" s="283" t="n"/>
      <c r="C13" s="283" t="n"/>
      <c r="D13" s="283" t="n"/>
      <c r="E13" s="12" t="inlineStr">
        <is>
          <t>TE331</t>
        </is>
      </c>
      <c r="F13" s="283" t="n"/>
      <c r="G13" s="71" t="inlineStr">
        <is>
          <t>Bag filter hopper-1 temp</t>
        </is>
      </c>
      <c r="H13" s="283" t="n"/>
      <c r="I13" s="283" t="n"/>
      <c r="J13" s="283" t="n"/>
      <c r="K13" s="283" t="n"/>
      <c r="L13" s="283" t="n"/>
      <c r="M13" s="283" t="n"/>
      <c r="N13" s="283" t="n"/>
      <c r="O13" s="210">
        <f>SUM(D13-H13)</f>
        <v/>
      </c>
    </row>
    <row r="14">
      <c r="A14" s="280" t="n"/>
      <c r="B14" s="283" t="n"/>
      <c r="C14" s="283" t="n"/>
      <c r="D14" s="283" t="n"/>
      <c r="E14" s="12" t="inlineStr">
        <is>
          <t>TE332</t>
        </is>
      </c>
      <c r="F14" s="283" t="n"/>
      <c r="G14" s="71" t="inlineStr">
        <is>
          <t>Bag filter hopper-2 temp</t>
        </is>
      </c>
      <c r="H14" s="283" t="n"/>
      <c r="I14" s="283" t="n"/>
      <c r="J14" s="283" t="n"/>
      <c r="K14" s="283" t="n"/>
      <c r="L14" s="283" t="n"/>
      <c r="M14" s="283" t="n"/>
      <c r="N14" s="283" t="n"/>
      <c r="O14" s="210">
        <f>SUM(D14-H14)</f>
        <v/>
      </c>
    </row>
    <row r="15">
      <c r="A15" s="280" t="n"/>
      <c r="B15" s="283" t="n"/>
      <c r="C15" s="283" t="n"/>
      <c r="D15" s="283" t="n"/>
      <c r="E15" s="3" t="inlineStr">
        <is>
          <t>TE333</t>
        </is>
      </c>
      <c r="F15" s="283" t="n"/>
      <c r="G15" s="71" t="inlineStr">
        <is>
          <t>Fine coal Silo Temp-1</t>
        </is>
      </c>
      <c r="H15" s="283" t="n"/>
      <c r="I15" s="283" t="n"/>
      <c r="J15" s="283" t="n"/>
      <c r="K15" s="283" t="n"/>
      <c r="L15" s="283" t="n"/>
      <c r="M15" s="283" t="n"/>
      <c r="N15" s="283" t="n"/>
      <c r="O15" s="210">
        <f>SUM(D15-H15)</f>
        <v/>
      </c>
    </row>
    <row r="16">
      <c r="A16" s="280" t="n"/>
      <c r="B16" s="283" t="n"/>
      <c r="C16" s="283" t="n"/>
      <c r="D16" s="283" t="n"/>
      <c r="E16" s="3" t="inlineStr">
        <is>
          <t>TE336</t>
        </is>
      </c>
      <c r="F16" s="283" t="n"/>
      <c r="G16" s="71" t="inlineStr">
        <is>
          <t>Fine coal Silo Temp-4</t>
        </is>
      </c>
      <c r="H16" s="283" t="n"/>
      <c r="I16" s="283" t="n"/>
      <c r="J16" s="283" t="n"/>
      <c r="K16" s="283" t="n"/>
      <c r="L16" s="283" t="n"/>
      <c r="M16" s="283" t="n"/>
      <c r="N16" s="283" t="n"/>
      <c r="O16" s="210">
        <f>SUM(D16-H16)</f>
        <v/>
      </c>
    </row>
    <row r="17">
      <c r="A17" s="280" t="n"/>
      <c r="B17" s="283" t="n"/>
      <c r="C17" s="283" t="n"/>
      <c r="D17" s="283" t="n"/>
      <c r="E17" s="3" t="inlineStr">
        <is>
          <t>TE337</t>
        </is>
      </c>
      <c r="F17" s="283" t="n"/>
      <c r="G17" s="71" t="inlineStr">
        <is>
          <t>Fine coal Silo Temp-5</t>
        </is>
      </c>
      <c r="H17" s="283" t="n"/>
      <c r="I17" s="283" t="n"/>
      <c r="J17" s="283" t="n"/>
      <c r="K17" s="283" t="n"/>
      <c r="L17" s="283" t="n"/>
      <c r="M17" s="283" t="n"/>
      <c r="N17" s="283" t="n"/>
      <c r="O17" s="210">
        <f>SUM(D17-H17)</f>
        <v/>
      </c>
    </row>
    <row r="18">
      <c r="A18" s="280" t="n"/>
      <c r="B18" s="283" t="n"/>
      <c r="C18" s="283" t="n"/>
      <c r="D18" s="283" t="n"/>
      <c r="E18" s="3" t="inlineStr">
        <is>
          <t>TE338</t>
        </is>
      </c>
      <c r="F18" s="283" t="n"/>
      <c r="G18" s="71" t="inlineStr">
        <is>
          <t>Fine coal Silo Temp-6</t>
        </is>
      </c>
      <c r="H18" s="283" t="n"/>
      <c r="I18" s="283" t="n"/>
      <c r="J18" s="283" t="n"/>
      <c r="K18" s="283" t="n"/>
      <c r="L18" s="283" t="n"/>
      <c r="M18" s="283" t="n"/>
      <c r="N18" s="283" t="n"/>
      <c r="O18" s="210">
        <f>SUM(D18-H18)</f>
        <v/>
      </c>
    </row>
    <row r="19">
      <c r="A19" s="280" t="n"/>
      <c r="B19" s="283" t="n"/>
      <c r="C19" s="283" t="n"/>
      <c r="D19" s="283" t="n"/>
      <c r="E19" s="12" t="inlineStr">
        <is>
          <t>TE501</t>
        </is>
      </c>
      <c r="F19" s="283" t="n"/>
      <c r="G19" s="72" t="inlineStr">
        <is>
          <t>Top Temperature of injection vessel-A</t>
        </is>
      </c>
      <c r="H19" s="283" t="n"/>
      <c r="I19" s="283" t="n"/>
      <c r="J19" s="283" t="n"/>
      <c r="K19" s="283" t="n"/>
      <c r="L19" s="283" t="n"/>
      <c r="M19" s="283" t="n"/>
      <c r="N19" s="283" t="n"/>
      <c r="O19" s="210">
        <f>SUM(D19-H19)</f>
        <v/>
      </c>
    </row>
    <row r="20" ht="30" customHeight="1" s="126">
      <c r="A20" s="280" t="n"/>
      <c r="B20" s="283" t="n"/>
      <c r="C20" s="283" t="n"/>
      <c r="D20" s="283" t="n"/>
      <c r="E20" s="12" t="inlineStr">
        <is>
          <t>TE502</t>
        </is>
      </c>
      <c r="F20" s="283" t="n"/>
      <c r="G20" s="72" t="inlineStr">
        <is>
          <t>BottomTemperature of injection vessel-A</t>
        </is>
      </c>
      <c r="H20" s="283" t="n"/>
      <c r="I20" s="283" t="n"/>
      <c r="J20" s="283" t="n"/>
      <c r="K20" s="283" t="n"/>
      <c r="L20" s="283" t="n"/>
      <c r="M20" s="283" t="n"/>
      <c r="N20" s="283" t="n"/>
      <c r="O20" s="210">
        <f>SUM(D20-H20)</f>
        <v/>
      </c>
    </row>
    <row r="21">
      <c r="A21" s="280" t="n"/>
      <c r="B21" s="283" t="n"/>
      <c r="C21" s="283" t="n"/>
      <c r="D21" s="283" t="n"/>
      <c r="E21" s="12" t="inlineStr">
        <is>
          <t>TE503</t>
        </is>
      </c>
      <c r="F21" s="283" t="n"/>
      <c r="G21" s="72" t="inlineStr">
        <is>
          <t>Top Temperature of injection vessel-B</t>
        </is>
      </c>
      <c r="H21" s="283" t="n"/>
      <c r="I21" s="283" t="n"/>
      <c r="J21" s="283" t="n"/>
      <c r="K21" s="283" t="n"/>
      <c r="L21" s="283" t="n"/>
      <c r="M21" s="283" t="n"/>
      <c r="N21" s="283" t="n"/>
      <c r="O21" s="210">
        <f>SUM(D21-H21)</f>
        <v/>
      </c>
    </row>
    <row r="22" ht="30" customHeight="1" s="126">
      <c r="A22" s="280" t="n"/>
      <c r="B22" s="283" t="n"/>
      <c r="C22" s="283" t="n"/>
      <c r="D22" s="283" t="n"/>
      <c r="E22" s="12" t="inlineStr">
        <is>
          <t>TE504</t>
        </is>
      </c>
      <c r="F22" s="283" t="n"/>
      <c r="G22" s="72" t="inlineStr">
        <is>
          <t>BottomTemperature of injection vessel-B</t>
        </is>
      </c>
      <c r="H22" s="283" t="n"/>
      <c r="I22" s="283" t="n"/>
      <c r="J22" s="283" t="n"/>
      <c r="K22" s="283" t="n"/>
      <c r="L22" s="283" t="n"/>
      <c r="M22" s="283" t="n"/>
      <c r="N22" s="283" t="n"/>
      <c r="O22" s="210">
        <f>SUM(D22-H22)</f>
        <v/>
      </c>
    </row>
    <row r="23">
      <c r="A23" s="280" t="n"/>
      <c r="B23" s="283" t="n"/>
      <c r="C23" s="283" t="n"/>
      <c r="D23" s="283" t="n"/>
      <c r="E23" s="12" t="inlineStr">
        <is>
          <t>TE505</t>
        </is>
      </c>
      <c r="F23" s="283" t="n"/>
      <c r="G23" s="72" t="inlineStr">
        <is>
          <t>Top Temperature of injection vessel-C</t>
        </is>
      </c>
      <c r="H23" s="283" t="n"/>
      <c r="I23" s="283" t="n"/>
      <c r="J23" s="283" t="n"/>
      <c r="K23" s="283" t="n"/>
      <c r="L23" s="283" t="n"/>
      <c r="M23" s="283" t="n"/>
      <c r="N23" s="283" t="n"/>
      <c r="O23" s="210">
        <f>SUM(D23-H23)</f>
        <v/>
      </c>
    </row>
    <row r="24" ht="30" customHeight="1" s="126">
      <c r="A24" s="280" t="n"/>
      <c r="B24" s="283" t="n"/>
      <c r="C24" s="283" t="n"/>
      <c r="D24" s="283" t="n"/>
      <c r="E24" s="12" t="inlineStr">
        <is>
          <t>TE506</t>
        </is>
      </c>
      <c r="F24" s="283" t="n"/>
      <c r="G24" s="72" t="inlineStr">
        <is>
          <t>BottomTemperature of injection vessel-C</t>
        </is>
      </c>
      <c r="H24" s="283" t="n"/>
      <c r="I24" s="283" t="n"/>
      <c r="J24" s="283" t="n"/>
      <c r="K24" s="283" t="n"/>
      <c r="L24" s="283" t="n"/>
      <c r="M24" s="283" t="n"/>
      <c r="N24" s="283" t="n"/>
      <c r="O24" s="210">
        <f>SUM(D24-H24)</f>
        <v/>
      </c>
    </row>
    <row r="25">
      <c r="A25" s="280" t="n"/>
      <c r="B25" s="283" t="n"/>
      <c r="C25" s="283" t="n"/>
      <c r="D25" s="283" t="n"/>
      <c r="E25" s="12" t="inlineStr">
        <is>
          <t>TE507</t>
        </is>
      </c>
      <c r="F25" s="283" t="n"/>
      <c r="G25" s="72" t="inlineStr">
        <is>
          <t>Top Temperature of injection vessel-D</t>
        </is>
      </c>
      <c r="H25" s="283" t="n"/>
      <c r="I25" s="283" t="n"/>
      <c r="J25" s="283" t="n"/>
      <c r="K25" s="283" t="n"/>
      <c r="L25" s="283" t="n"/>
      <c r="M25" s="283" t="n"/>
      <c r="N25" s="283" t="n"/>
      <c r="O25" s="210">
        <f>SUM(D25-H25)</f>
        <v/>
      </c>
    </row>
    <row r="26" ht="30" customHeight="1" s="126">
      <c r="A26" s="280" t="n"/>
      <c r="B26" s="281" t="n"/>
      <c r="C26" s="281" t="n"/>
      <c r="D26" s="281" t="n"/>
      <c r="E26" s="12" t="inlineStr">
        <is>
          <t>TE508</t>
        </is>
      </c>
      <c r="F26" s="281" t="n"/>
      <c r="G26" s="72" t="inlineStr">
        <is>
          <t>BottomTemperature of injection vessel-D</t>
        </is>
      </c>
      <c r="H26" s="283" t="n"/>
      <c r="I26" s="283" t="n"/>
      <c r="J26" s="283" t="n"/>
      <c r="K26" s="283" t="n"/>
      <c r="L26" s="283" t="n"/>
      <c r="M26" s="281" t="n"/>
      <c r="N26" s="281" t="n"/>
      <c r="O26" s="210">
        <f>SUM(D26-H26)</f>
        <v/>
      </c>
    </row>
    <row r="27" ht="23.25" customHeight="1" s="126">
      <c r="A27" s="234" t="n">
        <v>5</v>
      </c>
      <c r="B27" s="270" t="inlineStr">
        <is>
          <t>PCI_RTD-PT100</t>
        </is>
      </c>
      <c r="C27" s="270" t="n">
        <v>1</v>
      </c>
      <c r="D27" s="271" t="n">
        <v>1</v>
      </c>
      <c r="E27" s="12" t="inlineStr">
        <is>
          <t>TE302</t>
        </is>
      </c>
      <c r="F27" s="248" t="inlineStr">
        <is>
          <t>Graduation No. Pt100, 0 - 100℃, ø16 armored 304 protecting tube, M27×2 matched base with fixed thread, insertion length 300mm, total length 500mm, wear-resistant &amp; explosion-proof type</t>
        </is>
      </c>
      <c r="G27" s="71" t="inlineStr">
        <is>
          <t>Mill roller bearing Temp-1</t>
        </is>
      </c>
      <c r="H27" s="283" t="n"/>
      <c r="I27" s="283" t="n"/>
      <c r="J27" s="283" t="n"/>
      <c r="K27" s="283" t="n"/>
      <c r="L27" s="283" t="n"/>
      <c r="M27" s="270" t="n"/>
      <c r="N27" s="270" t="n"/>
      <c r="O27" s="210">
        <f>SUM(D27-H27)</f>
        <v/>
      </c>
    </row>
    <row r="28" ht="27" customHeight="1" s="126">
      <c r="A28" s="280" t="n"/>
      <c r="B28" s="283" t="n"/>
      <c r="C28" s="283" t="n"/>
      <c r="D28" s="283" t="n"/>
      <c r="E28" s="12" t="inlineStr">
        <is>
          <t>TE303</t>
        </is>
      </c>
      <c r="F28" s="283" t="n"/>
      <c r="G28" s="71" t="inlineStr">
        <is>
          <t>Mill roller bearing Temp-2</t>
        </is>
      </c>
      <c r="H28" s="283" t="n"/>
      <c r="I28" s="283" t="n"/>
      <c r="J28" s="283" t="n"/>
      <c r="K28" s="283" t="n"/>
      <c r="L28" s="283" t="n"/>
      <c r="M28" s="283" t="n"/>
      <c r="N28" s="283" t="n"/>
      <c r="O28" s="210">
        <f>SUM(D28-H28)</f>
        <v/>
      </c>
    </row>
    <row r="29" ht="35.25" customHeight="1" s="126">
      <c r="A29" s="280" t="n"/>
      <c r="B29" s="281" t="n"/>
      <c r="C29" s="281" t="n"/>
      <c r="D29" s="281" t="n"/>
      <c r="E29" s="12" t="inlineStr">
        <is>
          <t>TE304</t>
        </is>
      </c>
      <c r="F29" s="281" t="n"/>
      <c r="G29" s="71" t="inlineStr">
        <is>
          <t>Mill roller bearing Temp-3</t>
        </is>
      </c>
      <c r="H29" s="281" t="n"/>
      <c r="I29" s="281" t="n"/>
      <c r="J29" s="281" t="n"/>
      <c r="K29" s="281" t="n"/>
      <c r="L29" s="281" t="n"/>
      <c r="M29" s="281" t="n"/>
      <c r="N29" s="281" t="n"/>
      <c r="O29" s="210">
        <f>SUM(D29-H29)</f>
        <v/>
      </c>
    </row>
    <row r="30">
      <c r="A30" s="234" t="n">
        <v>6</v>
      </c>
      <c r="B30" s="270" t="inlineStr">
        <is>
          <t>PCI_RTD-PT100</t>
        </is>
      </c>
      <c r="C30" s="270" t="n">
        <v>2</v>
      </c>
      <c r="D30" s="271" t="n">
        <v>1</v>
      </c>
      <c r="E30" s="3" t="inlineStr">
        <is>
          <t>TE334</t>
        </is>
      </c>
      <c r="F30" s="248" t="inlineStr">
        <is>
          <t>Graduation No. Pt100, 0 - 100℃, ø16 armored 304 protecting tube, M27×2 matched base with fixed thread, insertion length 2000mm, total length 2200mm, wear-resistant &amp; explosion-proof type</t>
        </is>
      </c>
      <c r="G30" s="71" t="inlineStr">
        <is>
          <t>Fine coal Silo Temp-2</t>
        </is>
      </c>
      <c r="H30" s="270" t="n">
        <v>2</v>
      </c>
      <c r="I30" s="270" t="n">
        <v>2</v>
      </c>
      <c r="J30" s="270" t="n">
        <v>2</v>
      </c>
      <c r="K30" s="270" t="n">
        <v>2</v>
      </c>
      <c r="L30" s="270" t="n">
        <v>1</v>
      </c>
      <c r="M30" s="270" t="n"/>
      <c r="N30" s="270" t="n"/>
      <c r="O30" s="210">
        <f>SUM(D30-H30)</f>
        <v/>
      </c>
    </row>
    <row r="31" ht="63" customHeight="1" s="126">
      <c r="A31" s="280" t="n"/>
      <c r="B31" s="281" t="n"/>
      <c r="C31" s="281" t="n"/>
      <c r="D31" s="281" t="n"/>
      <c r="E31" s="3" t="inlineStr">
        <is>
          <t>TE335</t>
        </is>
      </c>
      <c r="F31" s="281" t="n"/>
      <c r="G31" s="71" t="inlineStr">
        <is>
          <t>Fine coal Silo Temp-3</t>
        </is>
      </c>
      <c r="H31" s="281" t="n"/>
      <c r="I31" s="281" t="n"/>
      <c r="J31" s="281" t="n"/>
      <c r="K31" s="281" t="n"/>
      <c r="L31" s="281" t="n"/>
      <c r="M31" s="281" t="n"/>
      <c r="N31" s="281" t="n"/>
      <c r="O31" s="210">
        <f>SUM(D31-H31)</f>
        <v/>
      </c>
    </row>
    <row r="32">
      <c r="A32" s="234" t="n">
        <v>7</v>
      </c>
      <c r="B32" s="270" t="inlineStr">
        <is>
          <t>PCI_RTD-PT100</t>
        </is>
      </c>
      <c r="C32" s="270" t="n">
        <v>2</v>
      </c>
      <c r="D32" s="271" t="n">
        <v>1</v>
      </c>
      <c r="E32" s="12" t="inlineStr">
        <is>
          <t>TE509</t>
        </is>
      </c>
      <c r="F32" s="248" t="inlineStr">
        <is>
          <t>Graduation No. Pt100, 0 - 100℃, ø16 armored 304 protecting tube, M27×2 matched base with fixed thread, insertion length 0mm, total length 150mm, wear-resistant &amp; explosion-proof type</t>
        </is>
      </c>
      <c r="G32" s="71" t="inlineStr">
        <is>
          <t>MBF-B conveying line temp</t>
        </is>
      </c>
      <c r="H32" s="270" t="n">
        <v>2</v>
      </c>
      <c r="I32" s="270" t="n">
        <v>2</v>
      </c>
      <c r="J32" s="270" t="n">
        <v>2</v>
      </c>
      <c r="K32" s="270" t="n">
        <v>2</v>
      </c>
      <c r="L32" s="270" t="n">
        <v>2</v>
      </c>
      <c r="M32" s="270" t="n"/>
      <c r="N32" s="270" t="n"/>
      <c r="O32" s="210">
        <f>SUM(D32-H32)</f>
        <v/>
      </c>
    </row>
    <row r="33" ht="59.25" customHeight="1" s="126">
      <c r="A33" s="280" t="n"/>
      <c r="B33" s="281" t="n"/>
      <c r="C33" s="281" t="n"/>
      <c r="D33" s="281" t="n"/>
      <c r="E33" s="12" t="inlineStr">
        <is>
          <t>TE510</t>
        </is>
      </c>
      <c r="F33" s="281" t="n"/>
      <c r="G33" s="71" t="inlineStr">
        <is>
          <t>MBF-A conveying line temp</t>
        </is>
      </c>
      <c r="H33" s="281" t="n"/>
      <c r="I33" s="281" t="n"/>
      <c r="J33" s="281" t="n"/>
      <c r="K33" s="281" t="n"/>
      <c r="L33" s="281" t="n"/>
      <c r="M33" s="281" t="n"/>
      <c r="N33" s="281" t="n"/>
      <c r="O33" s="210">
        <f>SUM(D33-H33)</f>
        <v/>
      </c>
    </row>
    <row r="34" ht="26.25" customHeight="1" s="126">
      <c r="A34" s="234" t="n">
        <v>8</v>
      </c>
      <c r="B34" s="270" t="inlineStr">
        <is>
          <t>PCI_RTD-PT100</t>
        </is>
      </c>
      <c r="C34" s="270" t="n">
        <v>2</v>
      </c>
      <c r="D34" s="271" t="n">
        <v>1</v>
      </c>
      <c r="E34" s="12" t="inlineStr">
        <is>
          <t>TE401</t>
        </is>
      </c>
      <c r="F34" s="248" t="inlineStr">
        <is>
          <t>Graduation No. Pt100, 0 - 100℃, ø16 armored 304 protecting tube, M27×2 matched base with fixed thread, insertion length 50mm, total length 150mm, wear-resistant &amp; explosion-proof type</t>
        </is>
      </c>
      <c r="G34" s="71" t="inlineStr">
        <is>
          <t>Nitrogen receiver Inlet temperature</t>
        </is>
      </c>
      <c r="H34" s="270" t="n">
        <v>2</v>
      </c>
      <c r="I34" s="270" t="n">
        <v>2</v>
      </c>
      <c r="J34" s="270" t="n">
        <v>2</v>
      </c>
      <c r="K34" s="270" t="n">
        <v>2</v>
      </c>
      <c r="L34" s="270" t="n">
        <v>2</v>
      </c>
      <c r="M34" s="270" t="n"/>
      <c r="N34" s="270" t="n"/>
      <c r="O34" s="210">
        <f>SUM(D34-H34)</f>
        <v/>
      </c>
    </row>
    <row r="35" ht="66.75" customHeight="1" s="126">
      <c r="A35" s="280" t="n"/>
      <c r="B35" s="281" t="n"/>
      <c r="C35" s="281" t="n"/>
      <c r="D35" s="281" t="n"/>
      <c r="E35" s="12" t="inlineStr">
        <is>
          <t>TE402</t>
        </is>
      </c>
      <c r="F35" s="281" t="n"/>
      <c r="G35" s="71" t="inlineStr">
        <is>
          <t>Compressure air  receiver Inlet temperature</t>
        </is>
      </c>
      <c r="H35" s="281" t="n"/>
      <c r="I35" s="281" t="n"/>
      <c r="J35" s="281" t="n"/>
      <c r="K35" s="281" t="n"/>
      <c r="L35" s="281" t="n"/>
      <c r="M35" s="281" t="n"/>
      <c r="N35" s="281" t="n"/>
      <c r="O35" s="210">
        <f>SUM(D35-H35)</f>
        <v/>
      </c>
    </row>
    <row r="36">
      <c r="C36" s="268">
        <f>SUM(C3:C35)</f>
        <v/>
      </c>
      <c r="D36" s="223" t="n"/>
      <c r="E36" s="223" t="n"/>
      <c r="F36" s="223" t="n"/>
      <c r="G36" s="202" t="n"/>
      <c r="H36" s="270" t="n"/>
      <c r="I36" s="270" t="n"/>
      <c r="J36" s="270" t="n"/>
      <c r="K36" s="270" t="n"/>
      <c r="L36" s="270" t="n"/>
      <c r="M36" s="270" t="n"/>
      <c r="N36" s="270" t="n"/>
      <c r="O36" s="210">
        <f>SUM(O4:O35)</f>
        <v/>
      </c>
    </row>
  </sheetData>
  <mergeCells count="81">
    <mergeCell ref="C30:C31"/>
    <mergeCell ref="I32:I33"/>
    <mergeCell ref="K32:K33"/>
    <mergeCell ref="H34:H35"/>
    <mergeCell ref="F30:F31"/>
    <mergeCell ref="M10:M26"/>
    <mergeCell ref="D32:D33"/>
    <mergeCell ref="J4:J5"/>
    <mergeCell ref="L4:L5"/>
    <mergeCell ref="I1:N1"/>
    <mergeCell ref="J32:J33"/>
    <mergeCell ref="B6:B9"/>
    <mergeCell ref="K10:K29"/>
    <mergeCell ref="L6:L9"/>
    <mergeCell ref="N6:N9"/>
    <mergeCell ref="H30:H31"/>
    <mergeCell ref="A10:A26"/>
    <mergeCell ref="D34:D35"/>
    <mergeCell ref="F34:F35"/>
    <mergeCell ref="I30:I31"/>
    <mergeCell ref="M34:M35"/>
    <mergeCell ref="K30:K31"/>
    <mergeCell ref="C4:C5"/>
    <mergeCell ref="J34:J35"/>
    <mergeCell ref="F27:F29"/>
    <mergeCell ref="L10:L29"/>
    <mergeCell ref="A1:G1"/>
    <mergeCell ref="L34:L35"/>
    <mergeCell ref="C32:C33"/>
    <mergeCell ref="I34:I35"/>
    <mergeCell ref="K34:K35"/>
    <mergeCell ref="B30:B31"/>
    <mergeCell ref="D30:D31"/>
    <mergeCell ref="B32:B33"/>
    <mergeCell ref="N30:N31"/>
    <mergeCell ref="F4:F5"/>
    <mergeCell ref="C34:C35"/>
    <mergeCell ref="H4:H5"/>
    <mergeCell ref="C27:C29"/>
    <mergeCell ref="M27:M29"/>
    <mergeCell ref="D10:D26"/>
    <mergeCell ref="F10:F26"/>
    <mergeCell ref="L32:L33"/>
    <mergeCell ref="H6:H9"/>
    <mergeCell ref="J6:J9"/>
    <mergeCell ref="A6:A9"/>
    <mergeCell ref="B34:B35"/>
    <mergeCell ref="M6:M9"/>
    <mergeCell ref="N27:N29"/>
    <mergeCell ref="M32:M33"/>
    <mergeCell ref="N10:N26"/>
    <mergeCell ref="F7:F9"/>
    <mergeCell ref="A4:A5"/>
    <mergeCell ref="K4:K5"/>
    <mergeCell ref="D27:D29"/>
    <mergeCell ref="B4:B5"/>
    <mergeCell ref="N4:N5"/>
    <mergeCell ref="H10:H29"/>
    <mergeCell ref="J10:J29"/>
    <mergeCell ref="A27:A29"/>
    <mergeCell ref="N32:N33"/>
    <mergeCell ref="D6:D9"/>
    <mergeCell ref="F32:F33"/>
    <mergeCell ref="J30:J31"/>
    <mergeCell ref="L30:L31"/>
    <mergeCell ref="D4:D5"/>
    <mergeCell ref="C10:C26"/>
    <mergeCell ref="I10:I29"/>
    <mergeCell ref="A32:A33"/>
    <mergeCell ref="B10:B26"/>
    <mergeCell ref="M30:M31"/>
    <mergeCell ref="H32:H33"/>
    <mergeCell ref="I4:I5"/>
    <mergeCell ref="N34:N35"/>
    <mergeCell ref="B27:B29"/>
    <mergeCell ref="M4:M5"/>
    <mergeCell ref="A34:A35"/>
    <mergeCell ref="I6:I9"/>
    <mergeCell ref="K6:K9"/>
    <mergeCell ref="C6:C9"/>
    <mergeCell ref="A30:A31"/>
  </mergeCells>
  <pageMargins left="0.7" right="0.7" top="0.75" bottom="0.75" header="0.3" footer="0.3"/>
  <pageSetup orientation="portrait" paperSize="9" scale="6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workbookViewId="0">
      <selection activeCell="P1" sqref="P1"/>
    </sheetView>
  </sheetViews>
  <sheetFormatPr baseColWidth="8" defaultRowHeight="15"/>
  <cols>
    <col width="6.140625" customWidth="1" style="126" min="1" max="1"/>
    <col width="18.7109375" customWidth="1" style="126" min="2" max="2"/>
    <col width="9.140625" customWidth="1" style="58" min="3" max="3"/>
    <col width="41.5703125" customWidth="1" style="126" min="6" max="6"/>
    <col width="17.140625" customWidth="1" style="126" min="7" max="7"/>
    <col hidden="1" width="9.140625" customWidth="1" style="126" min="8" max="8"/>
    <col width="7.140625" customWidth="1" style="126" min="10" max="10"/>
    <col width="6.42578125" customWidth="1" style="126" min="11" max="13"/>
    <col width="6.140625" customWidth="1" style="126" min="14" max="14"/>
    <col width="7" customWidth="1" style="126" min="15" max="15"/>
    <col width="17.7109375" customWidth="1" style="126" min="16" max="16"/>
  </cols>
  <sheetData>
    <row r="1">
      <c r="A1" s="45" t="inlineStr">
        <is>
          <t>SL.NO</t>
        </is>
      </c>
      <c r="B1" s="46" t="inlineStr">
        <is>
          <t>INSTRUMENT</t>
        </is>
      </c>
      <c r="C1" s="47" t="inlineStr">
        <is>
          <t xml:space="preserve"> Qty Instld</t>
        </is>
      </c>
      <c r="D1" s="46" t="inlineStr">
        <is>
          <t>Qty Req</t>
        </is>
      </c>
      <c r="E1" s="46" t="inlineStr">
        <is>
          <t>TAG NO</t>
        </is>
      </c>
      <c r="F1" s="47" t="inlineStr">
        <is>
          <t>DESCRIPTION</t>
        </is>
      </c>
      <c r="G1" s="48" t="inlineStr">
        <is>
          <t>INSTALATION SITE</t>
        </is>
      </c>
      <c r="I1" s="123" t="inlineStr">
        <is>
          <t>Qty avbl</t>
        </is>
      </c>
      <c r="J1" s="49" t="inlineStr">
        <is>
          <t>JUL</t>
        </is>
      </c>
      <c r="K1" s="49" t="inlineStr">
        <is>
          <t>AUG</t>
        </is>
      </c>
      <c r="L1" s="49" t="inlineStr">
        <is>
          <t>SEP</t>
        </is>
      </c>
      <c r="M1" s="49" t="inlineStr">
        <is>
          <t>OCT</t>
        </is>
      </c>
      <c r="N1" s="49" t="inlineStr">
        <is>
          <t>NOV</t>
        </is>
      </c>
      <c r="O1" s="49" t="inlineStr">
        <is>
          <t>DEC</t>
        </is>
      </c>
      <c r="P1" s="203" t="inlineStr">
        <is>
          <t>Spare to be indent</t>
        </is>
      </c>
    </row>
    <row r="2" ht="18.75" customHeight="1" s="126">
      <c r="A2" s="270" t="n">
        <v>1</v>
      </c>
      <c r="B2" s="248" t="inlineStr">
        <is>
          <t>Radar  Model 5402ASH1E5YJAM1</t>
        </is>
      </c>
      <c r="C2" s="270" t="n">
        <v>3</v>
      </c>
      <c r="D2" s="271" t="n">
        <v>1</v>
      </c>
      <c r="E2" s="1" t="inlineStr">
        <is>
          <t>LE 101</t>
        </is>
      </c>
      <c r="F2" s="248" t="inlineStr">
        <is>
          <t>Model 5408A3SHA1E11R4AACAA4PC1M5Q4
Range:-0-14m, flange connection
Suitable for medium:- coal</t>
        </is>
      </c>
      <c r="G2" s="247" t="inlineStr">
        <is>
          <t>GH-1 Level</t>
        </is>
      </c>
      <c r="I2" s="270" t="n">
        <v>1</v>
      </c>
      <c r="J2" s="270" t="n">
        <v>1</v>
      </c>
      <c r="K2" s="223" t="n"/>
      <c r="L2" s="223" t="n"/>
      <c r="M2" s="223" t="n"/>
      <c r="N2" s="223" t="n"/>
      <c r="O2" s="223" t="n"/>
      <c r="P2" s="208">
        <f>SUM(D2-I2)</f>
        <v/>
      </c>
    </row>
    <row r="3" ht="45" customHeight="1" s="126">
      <c r="A3" s="270" t="n">
        <v>2</v>
      </c>
      <c r="B3" s="283" t="n"/>
      <c r="C3" s="283" t="n"/>
      <c r="D3" s="283" t="n"/>
      <c r="E3" s="1" t="inlineStr">
        <is>
          <t>LE-301</t>
        </is>
      </c>
      <c r="F3" s="283" t="n"/>
      <c r="G3" s="56" t="inlineStr">
        <is>
          <t>Raw coal storage  silo level</t>
        </is>
      </c>
      <c r="I3" s="283" t="n"/>
      <c r="J3" s="283" t="n"/>
      <c r="K3" s="223" t="n"/>
      <c r="L3" s="223" t="n"/>
      <c r="M3" s="223" t="n"/>
      <c r="N3" s="223" t="n"/>
      <c r="O3" s="223" t="n"/>
      <c r="P3" s="208">
        <f>SUM(D3-I3)</f>
        <v/>
      </c>
    </row>
    <row r="4" ht="38.25" customHeight="1" s="126">
      <c r="A4" s="270" t="n">
        <v>3</v>
      </c>
      <c r="B4" s="281" t="n"/>
      <c r="C4" s="281" t="n"/>
      <c r="D4" s="281" t="n"/>
      <c r="E4" s="1" t="inlineStr">
        <is>
          <t>LE-302</t>
        </is>
      </c>
      <c r="F4" s="281" t="n"/>
      <c r="G4" s="25" t="inlineStr">
        <is>
          <t>Fine Coal Silo</t>
        </is>
      </c>
      <c r="I4" s="281" t="n"/>
      <c r="J4" s="281" t="n"/>
      <c r="K4" s="223" t="n"/>
      <c r="L4" s="223" t="n"/>
      <c r="M4" s="223" t="n"/>
      <c r="N4" s="223" t="n"/>
      <c r="O4" s="223" t="n"/>
      <c r="P4" s="208">
        <f>SUM(D4-I4)</f>
        <v/>
      </c>
    </row>
    <row r="5" ht="49.5" customHeight="1" s="126">
      <c r="A5" s="270" t="n">
        <v>4</v>
      </c>
      <c r="B5" s="248" t="inlineStr">
        <is>
          <t>PCI_level switch</t>
        </is>
      </c>
      <c r="C5" s="225" t="n">
        <v>3</v>
      </c>
      <c r="D5" s="228" t="n">
        <v>1</v>
      </c>
      <c r="E5" s="17" t="inlineStr">
        <is>
          <t>LE-103</t>
        </is>
      </c>
      <c r="F5" s="285" t="inlineStr">
        <is>
          <t xml:space="preserve">Capacitance admittance level meter
Armored 304 protecting tube ZG1", matched base with fixed thread, insertion length 200mm, total length 300mm, explosion-proof type
Model:-L-2000D-SCA1-200NEX
Suitable for medium:- coal
Supply Voltage:- 24 VDC
</t>
        </is>
      </c>
      <c r="G5" s="56" t="inlineStr">
        <is>
          <t>Chute before Steep Aangl Conveyor Level</t>
        </is>
      </c>
      <c r="I5" s="270" t="n">
        <v>0</v>
      </c>
      <c r="J5" s="270" t="n">
        <v>0</v>
      </c>
      <c r="K5" s="268" t="n"/>
      <c r="L5" s="268" t="n"/>
      <c r="M5" s="268" t="n"/>
      <c r="N5" s="268" t="n"/>
      <c r="O5" s="268" t="n"/>
      <c r="P5" s="208">
        <f>SUM(D5-I5)</f>
        <v/>
      </c>
    </row>
    <row r="6" ht="27" customHeight="1" s="126">
      <c r="A6" s="283" t="n"/>
      <c r="B6" s="283" t="n"/>
      <c r="C6" s="283" t="n"/>
      <c r="D6" s="283" t="n"/>
      <c r="E6" s="17" t="inlineStr">
        <is>
          <t>LE-104</t>
        </is>
      </c>
      <c r="F6" s="283" t="n"/>
      <c r="G6" s="56" t="inlineStr">
        <is>
          <t>Chute  before RCS Level</t>
        </is>
      </c>
      <c r="I6" s="283" t="n"/>
      <c r="J6" s="283" t="n"/>
      <c r="K6" s="283" t="n"/>
      <c r="L6" s="283" t="n"/>
      <c r="M6" s="283" t="n"/>
      <c r="N6" s="283" t="n"/>
      <c r="O6" s="283" t="n"/>
      <c r="P6" s="208">
        <f>SUM(D6-I6)</f>
        <v/>
      </c>
    </row>
    <row r="7" ht="12" customHeight="1" s="126">
      <c r="A7" s="281" t="n"/>
      <c r="B7" s="281" t="n"/>
      <c r="C7" s="283" t="n"/>
      <c r="D7" s="283" t="n"/>
      <c r="E7" s="17" t="inlineStr">
        <is>
          <t>LE-304</t>
        </is>
      </c>
      <c r="F7" s="281" t="n"/>
      <c r="G7" s="57" t="inlineStr">
        <is>
          <t>Chute  before VRM INLRT</t>
        </is>
      </c>
      <c r="I7" s="281" t="n"/>
      <c r="J7" s="281" t="n"/>
      <c r="K7" s="281" t="n"/>
      <c r="L7" s="281" t="n"/>
      <c r="M7" s="281" t="n"/>
      <c r="N7" s="281" t="n"/>
      <c r="O7" s="281" t="n"/>
      <c r="P7" s="208">
        <f>SUM(D7-I7)</f>
        <v/>
      </c>
    </row>
    <row r="8" ht="49.5" customHeight="1" s="126">
      <c r="A8" s="6" t="n">
        <v>5</v>
      </c>
      <c r="B8" s="6" t="inlineStr">
        <is>
          <t>PCI UV Detector</t>
        </is>
      </c>
      <c r="C8" s="270" t="n">
        <v>1</v>
      </c>
      <c r="D8" s="42" t="n">
        <v>1</v>
      </c>
      <c r="E8" s="18" t="inlineStr">
        <is>
          <t>XT203</t>
        </is>
      </c>
      <c r="F8" s="19" t="inlineStr">
        <is>
          <t>Model:-BWZJ-13T, Supply- 230VAC, Out Put- Switch Output.</t>
        </is>
      </c>
      <c r="G8" s="270" t="inlineStr">
        <is>
          <t>HGG</t>
        </is>
      </c>
      <c r="I8" s="270" t="n">
        <v>1</v>
      </c>
      <c r="J8" s="270" t="n">
        <v>1</v>
      </c>
      <c r="K8" s="223" t="n"/>
      <c r="L8" s="223" t="n"/>
      <c r="M8" s="223" t="n"/>
      <c r="N8" s="223" t="n"/>
      <c r="O8" s="223" t="n"/>
      <c r="P8" s="208">
        <f>SUM(D8-I8)</f>
        <v/>
      </c>
    </row>
    <row r="9" ht="30" customHeight="1" s="126">
      <c r="A9" s="66" t="n">
        <v>6</v>
      </c>
      <c r="B9" s="204" t="inlineStr">
        <is>
          <t>PCI_Bed  LVL Transmitter</t>
        </is>
      </c>
      <c r="C9" s="244" t="n">
        <v>1</v>
      </c>
      <c r="D9" s="205" t="n">
        <v>1</v>
      </c>
      <c r="E9" s="204" t="inlineStr">
        <is>
          <t>LT-302</t>
        </is>
      </c>
      <c r="F9" s="206" t="inlineStr">
        <is>
          <t>Out Put- 4-20 mA, Range-= 0-50 mm, Supply 24V, Make- Autobolin</t>
        </is>
      </c>
      <c r="G9" s="225" t="inlineStr">
        <is>
          <t>mill bed height</t>
        </is>
      </c>
      <c r="I9" s="225" t="n">
        <v>1</v>
      </c>
      <c r="J9" s="225" t="n">
        <v>1</v>
      </c>
      <c r="K9" s="207" t="n"/>
      <c r="L9" s="207" t="n"/>
      <c r="M9" s="207" t="n"/>
      <c r="N9" s="207" t="n"/>
      <c r="O9" s="207" t="n"/>
      <c r="P9" s="209">
        <f>SUM(D9-I9)</f>
        <v/>
      </c>
    </row>
    <row r="10">
      <c r="A10" s="223" t="n"/>
      <c r="B10" s="223" t="n"/>
      <c r="C10" s="268">
        <f>SUM(C2:C9)</f>
        <v/>
      </c>
      <c r="D10" s="223" t="n"/>
      <c r="E10" s="223" t="n"/>
      <c r="F10" s="223" t="n"/>
      <c r="G10" s="223" t="n"/>
      <c r="H10" s="223" t="n"/>
      <c r="I10" s="223" t="n">
        <v>0</v>
      </c>
      <c r="J10" s="223" t="n"/>
      <c r="K10" s="223" t="n"/>
      <c r="L10" s="223" t="n"/>
      <c r="M10" s="223" t="n"/>
      <c r="N10" s="223" t="n"/>
      <c r="O10" s="223" t="n"/>
      <c r="P10" s="208">
        <f>P12+SUM(P2:P9)</f>
        <v/>
      </c>
    </row>
  </sheetData>
  <mergeCells count="18">
    <mergeCell ref="I5:I7"/>
    <mergeCell ref="I2:I4"/>
    <mergeCell ref="M5:M7"/>
    <mergeCell ref="N5:N7"/>
    <mergeCell ref="J5:J7"/>
    <mergeCell ref="D5:D7"/>
    <mergeCell ref="C2:C4"/>
    <mergeCell ref="F2:F4"/>
    <mergeCell ref="J2:J4"/>
    <mergeCell ref="C5:C7"/>
    <mergeCell ref="A5:A7"/>
    <mergeCell ref="K5:K7"/>
    <mergeCell ref="B2:B4"/>
    <mergeCell ref="F5:F7"/>
    <mergeCell ref="L5:L7"/>
    <mergeCell ref="D2:D4"/>
    <mergeCell ref="O5:O7"/>
    <mergeCell ref="B5:B7"/>
  </mergeCells>
  <pageMargins left="0.7" right="0.7" top="0.75" bottom="0.75" header="0.3" footer="0.3"/>
  <pageSetup orientation="landscape" scale="7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48"/>
  <sheetViews>
    <sheetView topLeftCell="G1" workbookViewId="0">
      <pane ySplit="1" topLeftCell="A13" activePane="bottomLeft" state="frozen"/>
      <selection pane="bottomLeft" activeCell="P1" sqref="P1"/>
    </sheetView>
  </sheetViews>
  <sheetFormatPr baseColWidth="8" defaultRowHeight="15"/>
  <cols>
    <col width="5.7109375" customWidth="1" style="126" min="1" max="1"/>
    <col width="28.7109375" customWidth="1" style="126" min="2" max="2"/>
    <col width="12.85546875" customWidth="1" style="58" min="3" max="3"/>
    <col width="6" customWidth="1" style="58" min="4" max="4"/>
    <col width="9.140625" customWidth="1" style="58" min="5" max="5"/>
    <col width="9.140625" customWidth="1" style="162" min="6" max="6"/>
    <col width="61.42578125" customWidth="1" style="126" min="7" max="7"/>
    <col width="40.28515625" customWidth="1" style="126" min="8" max="8"/>
    <col width="14.28515625" customWidth="1" style="126" min="9" max="9"/>
    <col width="6.140625" customWidth="1" style="126" min="10" max="10"/>
    <col width="5.7109375" customWidth="1" style="126" min="11" max="12"/>
    <col width="6.5703125" customWidth="1" style="126" min="13" max="13"/>
    <col width="6.7109375" customWidth="1" style="126" min="14" max="14"/>
    <col width="6.42578125" customWidth="1" style="126" min="15" max="15"/>
    <col width="17.85546875" customWidth="1" style="126" min="16" max="16"/>
  </cols>
  <sheetData>
    <row r="1">
      <c r="A1" s="5" t="inlineStr">
        <is>
          <t>SL.NO</t>
        </is>
      </c>
      <c r="B1" s="47" t="inlineStr">
        <is>
          <t>SHORT DESCRIPTION</t>
        </is>
      </c>
      <c r="C1" s="47" t="inlineStr">
        <is>
          <t xml:space="preserve"> Qty Instld</t>
        </is>
      </c>
      <c r="D1" s="47" t="inlineStr">
        <is>
          <t>SL.NO</t>
        </is>
      </c>
      <c r="E1" s="47" t="inlineStr">
        <is>
          <t>Qty Req</t>
        </is>
      </c>
      <c r="F1" s="47" t="inlineStr">
        <is>
          <t>TAG NO</t>
        </is>
      </c>
      <c r="G1" s="47" t="inlineStr">
        <is>
          <t>DESCRIPTION</t>
        </is>
      </c>
      <c r="H1" s="49" t="inlineStr">
        <is>
          <t>INSTALATION SITE</t>
        </is>
      </c>
      <c r="I1" s="122" t="inlineStr">
        <is>
          <t>Qty avbl</t>
        </is>
      </c>
      <c r="J1" s="123" t="inlineStr">
        <is>
          <t>JUL</t>
        </is>
      </c>
      <c r="K1" s="123" t="inlineStr">
        <is>
          <t>AUG</t>
        </is>
      </c>
      <c r="L1" s="123" t="inlineStr">
        <is>
          <t>SEP</t>
        </is>
      </c>
      <c r="M1" s="123" t="inlineStr">
        <is>
          <t>OCT</t>
        </is>
      </c>
      <c r="N1" s="123" t="inlineStr">
        <is>
          <t>NOV</t>
        </is>
      </c>
      <c r="O1" s="123" t="inlineStr">
        <is>
          <t>DEC</t>
        </is>
      </c>
      <c r="P1" s="203" t="inlineStr">
        <is>
          <t>Spare to be indent</t>
        </is>
      </c>
    </row>
    <row r="2" ht="60" customHeight="1" s="126">
      <c r="A2" s="270" t="n">
        <v>1</v>
      </c>
      <c r="B2" s="248" t="inlineStr">
        <is>
          <t>PCI_PT 3051CG4A +0-0.2Kg/cm²</t>
        </is>
      </c>
      <c r="C2" s="270" t="n">
        <v>1</v>
      </c>
      <c r="D2" s="270" t="n">
        <v>1</v>
      </c>
      <c r="E2" s="271" t="n">
        <v>1</v>
      </c>
      <c r="F2" s="1" t="inlineStr">
        <is>
          <t>PT-201</t>
        </is>
      </c>
      <c r="G2" s="248" t="inlineStr">
        <is>
          <t>Model No:- 3051CG4A52A1BH2S 1S00B915L 4M5J
Range: 0 to 0.2Kg/cm², output signal: 4-20mADC, with digital display, HART digital communication, intrinsically safe &amp; explosion-proof type, 304 ball valve direct installation</t>
        </is>
      </c>
      <c r="H2" s="247" t="inlineStr">
        <is>
          <t>BFG Pr at HGG inlet</t>
        </is>
      </c>
      <c r="I2" s="247" t="n">
        <v>1</v>
      </c>
      <c r="J2" s="247" t="n">
        <v>1</v>
      </c>
      <c r="K2" s="223" t="n"/>
      <c r="L2" s="223" t="n"/>
      <c r="M2" s="223" t="n"/>
      <c r="N2" s="223" t="n"/>
      <c r="O2" s="223" t="n"/>
      <c r="P2" s="208" t="n"/>
    </row>
    <row r="3" ht="60" customHeight="1" s="126">
      <c r="A3" s="270" t="n">
        <v>2</v>
      </c>
      <c r="B3" s="248" t="inlineStr">
        <is>
          <t>PCI_PT 3051DR2A 0 -0.01-0.01Kg/cm²</t>
        </is>
      </c>
      <c r="C3" s="270" t="n">
        <v>1</v>
      </c>
      <c r="D3" s="270" t="n">
        <v>2</v>
      </c>
      <c r="E3" s="271" t="n">
        <v>1</v>
      </c>
      <c r="F3" s="1" t="inlineStr">
        <is>
          <t>PT-202</t>
        </is>
      </c>
      <c r="G3" s="248" t="inlineStr">
        <is>
          <t>Model No:- 3051DR2A52A1BH2S 1S00B915L 4M5J
Range: -0.01 to 0.01Kg/cm², output signal: 4-20mADC, with digital display, HART digital communication, intrinsically safe &amp; explosion-proof type, 304 ball valve direct installation</t>
        </is>
      </c>
      <c r="H3" s="247" t="inlineStr">
        <is>
          <t>HGG inside Pr</t>
        </is>
      </c>
      <c r="I3" s="14" t="n">
        <v>0</v>
      </c>
      <c r="J3" s="247" t="n">
        <v>0</v>
      </c>
      <c r="K3" s="223" t="n"/>
      <c r="L3" s="223" t="n"/>
      <c r="M3" s="223" t="n"/>
      <c r="N3" s="223" t="n"/>
      <c r="O3" s="223" t="n"/>
      <c r="P3" s="208">
        <f>SUM(E3-I3)</f>
        <v/>
      </c>
    </row>
    <row r="4" ht="60" customHeight="1" s="126">
      <c r="A4" s="270" t="n">
        <v>3</v>
      </c>
      <c r="B4" s="248" t="inlineStr">
        <is>
          <t>PCI_PT 3051CG3A +0-0.06Kg/cm²</t>
        </is>
      </c>
      <c r="C4" s="270" t="n">
        <v>1</v>
      </c>
      <c r="D4" s="270" t="n">
        <v>3</v>
      </c>
      <c r="E4" s="271" t="n">
        <v>1</v>
      </c>
      <c r="F4" s="1" t="inlineStr">
        <is>
          <t>PT-203</t>
        </is>
      </c>
      <c r="G4" s="248" t="inlineStr">
        <is>
          <t>Model No:- 3051CG3A52A1BH2S 1S00B915L 4M5J
Range: 0 to 0.06Kg/cm², output signal: 4-20mADC, with digital display, HART digital communication, intrinsically safe &amp; explosion-proof type, 304 ball valve direct installation</t>
        </is>
      </c>
      <c r="H4" s="247" t="inlineStr">
        <is>
          <t>CA Pr at HGG inlet</t>
        </is>
      </c>
      <c r="I4" s="247" t="n">
        <v>0</v>
      </c>
      <c r="J4" s="247" t="n">
        <v>0</v>
      </c>
      <c r="K4" s="223" t="n"/>
      <c r="L4" s="223" t="n"/>
      <c r="M4" s="223" t="n"/>
      <c r="N4" s="223" t="n"/>
      <c r="O4" s="223" t="n"/>
      <c r="P4" s="208">
        <f>SUM(E4-I4)</f>
        <v/>
      </c>
    </row>
    <row r="5" ht="60" customHeight="1" s="126">
      <c r="A5" s="270" t="n">
        <v>4</v>
      </c>
      <c r="B5" s="248" t="inlineStr">
        <is>
          <t>PCI_PT 3051CG3A -0.05-0Kg/cm²</t>
        </is>
      </c>
      <c r="C5" s="270" t="n">
        <v>1</v>
      </c>
      <c r="D5" s="270" t="n">
        <v>4</v>
      </c>
      <c r="E5" s="271" t="n">
        <v>1</v>
      </c>
      <c r="F5" s="1" t="inlineStr">
        <is>
          <t>PT-204</t>
        </is>
      </c>
      <c r="G5" s="248" t="inlineStr">
        <is>
          <t>Model No:- 3051CG3A52A1BH2S 1S00B915L 4M5J
Range: -0.05 to 0Kg/cm², output signal: 4-20mADC, with digital display, HART digital communication, intrinsically safe &amp; explosion-proof type, 304 ball valve direct installation</t>
        </is>
      </c>
      <c r="H5" s="247" t="inlineStr">
        <is>
          <t>Mill inlet Gas Pr</t>
        </is>
      </c>
      <c r="I5" s="74" t="n">
        <v>0</v>
      </c>
      <c r="J5" s="247" t="n">
        <v>0</v>
      </c>
      <c r="K5" s="223" t="n"/>
      <c r="L5" s="223" t="n"/>
      <c r="M5" s="223" t="n"/>
      <c r="N5" s="223" t="n"/>
      <c r="O5" s="223" t="n"/>
      <c r="P5" s="208">
        <f>SUM(E5-I5)</f>
        <v/>
      </c>
    </row>
    <row r="6" ht="60" customHeight="1" s="126">
      <c r="A6" s="270" t="n">
        <v>5</v>
      </c>
      <c r="B6" s="248" t="inlineStr">
        <is>
          <t>PCI_PT 3051CG4A -0.05-0.1Kg/cm²</t>
        </is>
      </c>
      <c r="C6" s="270" t="n">
        <v>1</v>
      </c>
      <c r="D6" s="270" t="n">
        <v>5</v>
      </c>
      <c r="E6" s="271" t="n">
        <v>1</v>
      </c>
      <c r="F6" s="1" t="inlineStr">
        <is>
          <t>PT-205</t>
        </is>
      </c>
      <c r="G6" s="248" t="inlineStr">
        <is>
          <t>Model No:- 3051CG4A52A1BH2S 1S00B915L 4M5J
Range: -0.05 to 0.1Kg/cm², output signal: 4-20mADC, with digital display, HART digital communication, intrinsically safe &amp; explosion-proof type, 304 ball valve direct installation</t>
        </is>
      </c>
      <c r="H6" s="247" t="inlineStr">
        <is>
          <t>HGG inlet recirculation gas pressure</t>
        </is>
      </c>
      <c r="I6" s="247" t="n">
        <v>0</v>
      </c>
      <c r="J6" s="247" t="n">
        <v>0</v>
      </c>
      <c r="K6" s="223" t="n"/>
      <c r="L6" s="223" t="n"/>
      <c r="M6" s="223" t="n"/>
      <c r="N6" s="223" t="n"/>
      <c r="O6" s="223" t="n"/>
      <c r="P6" s="208">
        <f>SUM(E6-I6)</f>
        <v/>
      </c>
    </row>
    <row r="7" hidden="1" ht="15" customHeight="1" s="126">
      <c r="A7" s="270" t="n">
        <v>6</v>
      </c>
      <c r="B7" s="248" t="inlineStr">
        <is>
          <t>Pressure transmitter</t>
        </is>
      </c>
      <c r="C7" s="270" t="n"/>
      <c r="D7" s="270" t="n">
        <v>6</v>
      </c>
      <c r="E7" s="271" t="n"/>
      <c r="F7" s="1" t="inlineStr">
        <is>
          <t>PT-206</t>
        </is>
      </c>
      <c r="G7" s="248" t="inlineStr">
        <is>
          <t>Range: --0.05-0.1Kg/cm², output signal: 4-20mADC, with digital display, HART digital communication, intrinsically safe &amp; explosion-proof type, 304 ball valve direct installation</t>
        </is>
      </c>
      <c r="H7" s="223" t="n"/>
      <c r="I7" s="247" t="n"/>
      <c r="J7" s="247" t="n"/>
      <c r="K7" s="223" t="n"/>
      <c r="L7" s="223" t="n"/>
      <c r="M7" s="223" t="n"/>
      <c r="N7" s="223" t="n"/>
      <c r="O7" s="223" t="n"/>
      <c r="P7" s="208">
        <f>SUM(E7-I7)</f>
        <v/>
      </c>
    </row>
    <row r="8" hidden="1" ht="15" customHeight="1" s="126">
      <c r="A8" s="270" t="n">
        <v>7</v>
      </c>
      <c r="B8" s="248" t="inlineStr">
        <is>
          <t>Pressure transmitter</t>
        </is>
      </c>
      <c r="C8" s="270" t="n"/>
      <c r="D8" s="270" t="n">
        <v>7</v>
      </c>
      <c r="E8" s="271" t="n"/>
      <c r="F8" s="1" t="inlineStr">
        <is>
          <t>PT-207</t>
        </is>
      </c>
      <c r="G8" s="248" t="inlineStr">
        <is>
          <t>Range: --0.05-0.1Kg/cm², output signal: 4-20mADC, with digital display, HART digital communication, intrinsically safe &amp; explosion-proof type, 304 ball valve direct installation</t>
        </is>
      </c>
      <c r="H8" s="223" t="n"/>
      <c r="I8" s="247" t="n"/>
      <c r="J8" s="247" t="n"/>
      <c r="K8" s="223" t="n"/>
      <c r="L8" s="223" t="n"/>
      <c r="M8" s="223" t="n"/>
      <c r="N8" s="223" t="n"/>
      <c r="O8" s="223" t="n"/>
      <c r="P8" s="208">
        <f>SUM(E8-I8)</f>
        <v/>
      </c>
    </row>
    <row r="9" ht="34.5" customHeight="1" s="126">
      <c r="A9" s="270" t="n">
        <v>6</v>
      </c>
      <c r="B9" s="248" t="inlineStr">
        <is>
          <t>PCI_PT 3051L5A-0.15-0Kg/cm²</t>
        </is>
      </c>
      <c r="C9" s="270" t="n">
        <v>2</v>
      </c>
      <c r="D9" s="270" t="n">
        <v>8</v>
      </c>
      <c r="E9" s="271" t="n">
        <v>1</v>
      </c>
      <c r="F9" s="1" t="inlineStr">
        <is>
          <t>PT-303</t>
        </is>
      </c>
      <c r="G9" s="230" t="inlineStr">
        <is>
          <t>3051L5AG0QA-11BA01K5L5M3J1
Range: -0.15 to 0Kg/cm², output signal: 4-20mADC, with digital display, HART digital communication, intrinsically safe &amp; explosion-proof typematched with one nos. of ø50 flange-</t>
        </is>
      </c>
      <c r="H9" s="247" t="inlineStr">
        <is>
          <t>Mill outlet Gas Pr</t>
        </is>
      </c>
      <c r="I9" s="247" t="n">
        <v>5</v>
      </c>
      <c r="J9" s="247" t="n">
        <v>0</v>
      </c>
      <c r="K9" s="223" t="n"/>
      <c r="L9" s="223" t="n"/>
      <c r="M9" s="223" t="n"/>
      <c r="N9" s="223" t="n"/>
      <c r="O9" s="223" t="n"/>
      <c r="P9" s="208">
        <f>SUM(E9-I9)</f>
        <v/>
      </c>
    </row>
    <row r="10" ht="45.75" customHeight="1" s="126">
      <c r="A10" s="281" t="n"/>
      <c r="B10" s="281" t="n"/>
      <c r="C10" s="281" t="n"/>
      <c r="D10" s="270" t="n">
        <v>9</v>
      </c>
      <c r="E10" s="281" t="n"/>
      <c r="F10" s="1" t="inlineStr">
        <is>
          <t>PT-304</t>
        </is>
      </c>
      <c r="G10" s="283" t="n"/>
      <c r="H10" s="247" t="inlineStr">
        <is>
          <t>Bag filter inlet pr</t>
        </is>
      </c>
      <c r="I10" s="247" t="n">
        <v>0</v>
      </c>
      <c r="J10" s="247" t="n">
        <v>0</v>
      </c>
      <c r="K10" s="223" t="n"/>
      <c r="L10" s="223" t="n"/>
      <c r="M10" s="223" t="n"/>
      <c r="N10" s="223" t="n"/>
      <c r="O10" s="223" t="n"/>
      <c r="P10" s="208">
        <f>SUM(E10-I10)</f>
        <v/>
      </c>
    </row>
    <row r="11" ht="60" customHeight="1" s="126">
      <c r="A11" s="270" t="n">
        <v>7</v>
      </c>
      <c r="B11" s="204" t="inlineStr">
        <is>
          <t>PCI_PT 3051DR2A -0.015-0Kg/cm²</t>
        </is>
      </c>
      <c r="C11" s="270" t="n">
        <v>1</v>
      </c>
      <c r="D11" s="270" t="n">
        <v>10</v>
      </c>
      <c r="E11" s="271" t="n">
        <v>1</v>
      </c>
      <c r="F11" s="1" t="inlineStr">
        <is>
          <t>PT-305</t>
        </is>
      </c>
      <c r="G11" s="248" t="inlineStr">
        <is>
          <t>Model No:- 3051DR2A52A1BH2S 1S00B915L 4M5J
Range: -0.015 to 0Kg/cm², output signal: 4-20mADC, with digital display, HART digital communication, intrinsically safe &amp; explosion-proof type, 304 ball valve direct installation</t>
        </is>
      </c>
      <c r="H11" s="247" t="inlineStr">
        <is>
          <t>Bag filter outlet pr</t>
        </is>
      </c>
      <c r="I11" s="247" t="n">
        <v>0</v>
      </c>
      <c r="J11" s="247" t="n">
        <v>0</v>
      </c>
      <c r="K11" s="223" t="n"/>
      <c r="L11" s="223" t="n"/>
      <c r="M11" s="223" t="n"/>
      <c r="N11" s="223" t="n"/>
      <c r="O11" s="223" t="n"/>
      <c r="P11" s="208">
        <f>SUM(E11-I11)</f>
        <v/>
      </c>
    </row>
    <row r="12" ht="60" customHeight="1" s="126">
      <c r="A12" s="270" t="n">
        <v>8</v>
      </c>
      <c r="B12" s="204" t="inlineStr">
        <is>
          <t>PCI_PT 3051L4A -0.15-0.15Kg/cm²</t>
        </is>
      </c>
      <c r="C12" s="270" t="n">
        <v>1</v>
      </c>
      <c r="D12" s="270" t="n">
        <v>11</v>
      </c>
      <c r="E12" s="271" t="n">
        <v>1</v>
      </c>
      <c r="F12" s="1" t="inlineStr">
        <is>
          <t>PT-306</t>
        </is>
      </c>
      <c r="G12" s="19" t="inlineStr">
        <is>
          <t>3051L4AG0QA-11BA01K5L5M3J1
Range: -0.15 to 0.15Kg/cm², output signal: 4-20mADC, with digital display, HART digital communication, intrinsically safe &amp; explosion-proof typematched with one nos. of ø50 flange</t>
        </is>
      </c>
      <c r="H12" s="247" t="inlineStr">
        <is>
          <t>Fine coal Silo Pr</t>
        </is>
      </c>
      <c r="I12" s="247" t="n">
        <v>0</v>
      </c>
      <c r="J12" s="56" t="n">
        <v>0</v>
      </c>
      <c r="K12" s="223" t="n"/>
      <c r="L12" s="223" t="n"/>
      <c r="M12" s="223" t="n"/>
      <c r="N12" s="223" t="n"/>
      <c r="O12" s="223" t="n"/>
      <c r="P12" s="208">
        <f>SUM(E12-I12)</f>
        <v/>
      </c>
    </row>
    <row r="13" ht="12.75" customHeight="1" s="126">
      <c r="A13" s="270" t="n">
        <v>9</v>
      </c>
      <c r="B13" s="248" t="inlineStr">
        <is>
          <t>PCI_PT 3051CG7A -0.015-0Kg/cm²</t>
        </is>
      </c>
      <c r="C13" s="270" t="n">
        <v>15</v>
      </c>
      <c r="D13" s="270" t="n">
        <v>12</v>
      </c>
      <c r="E13" s="271" t="n">
        <v>3</v>
      </c>
      <c r="F13" s="21" t="inlineStr">
        <is>
          <t>PT-401</t>
        </is>
      </c>
      <c r="G13" s="248" t="inlineStr">
        <is>
          <t>Model No:- 3051CG7A52A1BH2S 1S00B915L 4M5J
Range: 0-10Kg/cm², output signal: 4-20mADC, with digital display, HART digital communication, intrinsically safe &amp; explosion-proof type, 304 ball valve direct installation</t>
        </is>
      </c>
      <c r="H13" s="247" t="inlineStr">
        <is>
          <t>Nitrogen receiver Inlet pressure</t>
        </is>
      </c>
      <c r="I13" s="247" t="n">
        <v>1</v>
      </c>
      <c r="J13" s="247" t="n">
        <v>1</v>
      </c>
      <c r="K13" s="247" t="n"/>
      <c r="L13" s="247" t="n"/>
      <c r="M13" s="247" t="n"/>
      <c r="N13" s="247" t="n"/>
      <c r="O13" s="247" t="n"/>
      <c r="P13" s="208">
        <f>SUM(E13-I13)</f>
        <v/>
      </c>
    </row>
    <row r="14" hidden="1" ht="15" customHeight="1" s="126">
      <c r="A14" s="283" t="n"/>
      <c r="B14" s="283" t="n"/>
      <c r="C14" s="283" t="n"/>
      <c r="D14" s="270" t="n">
        <v>13</v>
      </c>
      <c r="E14" s="283" t="n"/>
      <c r="F14" s="12" t="inlineStr">
        <is>
          <t>PT-402</t>
        </is>
      </c>
      <c r="G14" s="283" t="n"/>
      <c r="H14" s="223" t="n"/>
      <c r="I14" s="283" t="n"/>
      <c r="J14" s="283" t="n"/>
      <c r="K14" s="283" t="n"/>
      <c r="L14" s="283" t="n"/>
      <c r="M14" s="283" t="n"/>
      <c r="N14" s="283" t="n"/>
      <c r="O14" s="283" t="n"/>
      <c r="P14" s="208">
        <f>SUM(E14-I14)</f>
        <v/>
      </c>
    </row>
    <row r="15" hidden="1" ht="15" customHeight="1" s="126">
      <c r="A15" s="283" t="n"/>
      <c r="B15" s="283" t="n"/>
      <c r="C15" s="283" t="n"/>
      <c r="D15" s="270" t="n">
        <v>14</v>
      </c>
      <c r="E15" s="283" t="n"/>
      <c r="F15" s="12" t="inlineStr">
        <is>
          <t>PT-403</t>
        </is>
      </c>
      <c r="G15" s="283" t="n"/>
      <c r="H15" s="223" t="n"/>
      <c r="I15" s="283" t="n"/>
      <c r="J15" s="283" t="n"/>
      <c r="K15" s="283" t="n"/>
      <c r="L15" s="283" t="n"/>
      <c r="M15" s="283" t="n"/>
      <c r="N15" s="283" t="n"/>
      <c r="O15" s="283" t="n"/>
      <c r="P15" s="208">
        <f>SUM(E15-I15)</f>
        <v/>
      </c>
    </row>
    <row r="16" hidden="1" ht="15" customHeight="1" s="126">
      <c r="A16" s="283" t="n"/>
      <c r="B16" s="283" t="n"/>
      <c r="C16" s="283" t="n"/>
      <c r="D16" s="270" t="n">
        <v>15</v>
      </c>
      <c r="E16" s="283" t="n"/>
      <c r="F16" s="12" t="inlineStr">
        <is>
          <t>PT-404</t>
        </is>
      </c>
      <c r="G16" s="283" t="n"/>
      <c r="H16" s="223" t="n"/>
      <c r="I16" s="283" t="n"/>
      <c r="J16" s="283" t="n"/>
      <c r="K16" s="283" t="n"/>
      <c r="L16" s="283" t="n"/>
      <c r="M16" s="283" t="n"/>
      <c r="N16" s="283" t="n"/>
      <c r="O16" s="283" t="n"/>
      <c r="P16" s="208">
        <f>SUM(E16-I16)</f>
        <v/>
      </c>
    </row>
    <row r="17" hidden="1" ht="15" customHeight="1" s="126">
      <c r="A17" s="283" t="n"/>
      <c r="B17" s="283" t="n"/>
      <c r="C17" s="283" t="n"/>
      <c r="D17" s="270" t="n">
        <v>16</v>
      </c>
      <c r="E17" s="283" t="n"/>
      <c r="F17" s="12" t="inlineStr">
        <is>
          <t>PT-405</t>
        </is>
      </c>
      <c r="G17" s="283" t="n"/>
      <c r="H17" s="223" t="n"/>
      <c r="I17" s="283" t="n"/>
      <c r="J17" s="283" t="n"/>
      <c r="K17" s="283" t="n"/>
      <c r="L17" s="283" t="n"/>
      <c r="M17" s="283" t="n"/>
      <c r="N17" s="283" t="n"/>
      <c r="O17" s="283" t="n"/>
      <c r="P17" s="208">
        <f>SUM(E17-I17)</f>
        <v/>
      </c>
    </row>
    <row r="18" hidden="1" ht="15" customHeight="1" s="126">
      <c r="A18" s="283" t="n"/>
      <c r="B18" s="283" t="n"/>
      <c r="C18" s="283" t="n"/>
      <c r="D18" s="270" t="n">
        <v>17</v>
      </c>
      <c r="E18" s="283" t="n"/>
      <c r="F18" s="12" t="inlineStr">
        <is>
          <t>PT-406</t>
        </is>
      </c>
      <c r="G18" s="283" t="n"/>
      <c r="H18" s="223" t="n"/>
      <c r="I18" s="283" t="n"/>
      <c r="J18" s="283" t="n"/>
      <c r="K18" s="283" t="n"/>
      <c r="L18" s="283" t="n"/>
      <c r="M18" s="283" t="n"/>
      <c r="N18" s="283" t="n"/>
      <c r="O18" s="283" t="n"/>
      <c r="P18" s="208">
        <f>SUM(E18-I18)</f>
        <v/>
      </c>
    </row>
    <row r="19" hidden="1" ht="15" customHeight="1" s="126">
      <c r="A19" s="283" t="n"/>
      <c r="B19" s="283" t="n"/>
      <c r="C19" s="283" t="n"/>
      <c r="D19" s="270" t="n">
        <v>18</v>
      </c>
      <c r="E19" s="283" t="n"/>
      <c r="F19" s="12" t="inlineStr">
        <is>
          <t>PT-407</t>
        </is>
      </c>
      <c r="G19" s="283" t="n"/>
      <c r="H19" s="223" t="n"/>
      <c r="I19" s="283" t="n"/>
      <c r="J19" s="283" t="n"/>
      <c r="K19" s="283" t="n"/>
      <c r="L19" s="283" t="n"/>
      <c r="M19" s="283" t="n"/>
      <c r="N19" s="283" t="n"/>
      <c r="O19" s="283" t="n"/>
      <c r="P19" s="208">
        <f>SUM(E19-I19)</f>
        <v/>
      </c>
    </row>
    <row r="20" hidden="1" ht="15" customHeight="1" s="126">
      <c r="A20" s="283" t="n"/>
      <c r="B20" s="283" t="n"/>
      <c r="C20" s="283" t="n"/>
      <c r="D20" s="270" t="n">
        <v>19</v>
      </c>
      <c r="E20" s="283" t="n"/>
      <c r="F20" s="12" t="inlineStr">
        <is>
          <t>PT-408</t>
        </is>
      </c>
      <c r="G20" s="283" t="n"/>
      <c r="H20" s="223" t="n"/>
      <c r="I20" s="283" t="n"/>
      <c r="J20" s="283" t="n"/>
      <c r="K20" s="283" t="n"/>
      <c r="L20" s="283" t="n"/>
      <c r="M20" s="283" t="n"/>
      <c r="N20" s="283" t="n"/>
      <c r="O20" s="283" t="n"/>
      <c r="P20" s="208">
        <f>SUM(E20-I20)</f>
        <v/>
      </c>
    </row>
    <row r="21" hidden="1" ht="15" customHeight="1" s="126">
      <c r="A21" s="283" t="n"/>
      <c r="B21" s="283" t="n"/>
      <c r="C21" s="283" t="n"/>
      <c r="D21" s="270" t="n">
        <v>20</v>
      </c>
      <c r="E21" s="283" t="n"/>
      <c r="F21" s="12" t="inlineStr">
        <is>
          <t>PT-409</t>
        </is>
      </c>
      <c r="G21" s="283" t="n"/>
      <c r="H21" s="223" t="n"/>
      <c r="I21" s="283" t="n"/>
      <c r="J21" s="283" t="n"/>
      <c r="K21" s="283" t="n"/>
      <c r="L21" s="283" t="n"/>
      <c r="M21" s="283" t="n"/>
      <c r="N21" s="283" t="n"/>
      <c r="O21" s="283" t="n"/>
      <c r="P21" s="208">
        <f>SUM(E21-I21)</f>
        <v/>
      </c>
    </row>
    <row r="22" hidden="1" ht="15" customHeight="1" s="126">
      <c r="A22" s="283" t="n"/>
      <c r="B22" s="283" t="n"/>
      <c r="C22" s="283" t="n"/>
      <c r="D22" s="270" t="n">
        <v>21</v>
      </c>
      <c r="E22" s="283" t="n"/>
      <c r="F22" s="12" t="inlineStr">
        <is>
          <t>PT-410</t>
        </is>
      </c>
      <c r="G22" s="283" t="n"/>
      <c r="H22" s="223" t="n"/>
      <c r="I22" s="283" t="n"/>
      <c r="J22" s="283" t="n"/>
      <c r="K22" s="283" t="n"/>
      <c r="L22" s="283" t="n"/>
      <c r="M22" s="283" t="n"/>
      <c r="N22" s="283" t="n"/>
      <c r="O22" s="283" t="n"/>
      <c r="P22" s="208">
        <f>SUM(E22-I22)</f>
        <v/>
      </c>
    </row>
    <row r="23" hidden="1" ht="15" customHeight="1" s="126">
      <c r="A23" s="283" t="n"/>
      <c r="B23" s="283" t="n"/>
      <c r="C23" s="283" t="n"/>
      <c r="D23" s="270" t="n">
        <v>22</v>
      </c>
      <c r="E23" s="283" t="n"/>
      <c r="F23" s="12" t="inlineStr">
        <is>
          <t>PT-411</t>
        </is>
      </c>
      <c r="G23" s="283" t="n"/>
      <c r="H23" s="223" t="n"/>
      <c r="I23" s="283" t="n"/>
      <c r="J23" s="283" t="n"/>
      <c r="K23" s="283" t="n"/>
      <c r="L23" s="283" t="n"/>
      <c r="M23" s="283" t="n"/>
      <c r="N23" s="283" t="n"/>
      <c r="O23" s="283" t="n"/>
      <c r="P23" s="208">
        <f>SUM(E23-I23)</f>
        <v/>
      </c>
    </row>
    <row r="24" hidden="1" ht="15" customHeight="1" s="126">
      <c r="A24" s="283" t="n"/>
      <c r="B24" s="283" t="n"/>
      <c r="C24" s="283" t="n"/>
      <c r="D24" s="270" t="n">
        <v>23</v>
      </c>
      <c r="E24" s="283" t="n"/>
      <c r="F24" s="12" t="inlineStr">
        <is>
          <t>PT-412</t>
        </is>
      </c>
      <c r="G24" s="283" t="n"/>
      <c r="H24" s="223" t="n"/>
      <c r="I24" s="283" t="n"/>
      <c r="J24" s="283" t="n"/>
      <c r="K24" s="283" t="n"/>
      <c r="L24" s="283" t="n"/>
      <c r="M24" s="283" t="n"/>
      <c r="N24" s="283" t="n"/>
      <c r="O24" s="283" t="n"/>
      <c r="P24" s="208">
        <f>SUM(E24-I24)</f>
        <v/>
      </c>
    </row>
    <row r="25" hidden="1" ht="15" customHeight="1" s="126">
      <c r="A25" s="283" t="n"/>
      <c r="B25" s="283" t="n"/>
      <c r="C25" s="283" t="n"/>
      <c r="D25" s="270" t="n">
        <v>24</v>
      </c>
      <c r="E25" s="283" t="n"/>
      <c r="F25" s="12" t="inlineStr">
        <is>
          <t>PT-413</t>
        </is>
      </c>
      <c r="G25" s="283" t="n"/>
      <c r="H25" s="223" t="n"/>
      <c r="I25" s="283" t="n"/>
      <c r="J25" s="283" t="n"/>
      <c r="K25" s="283" t="n"/>
      <c r="L25" s="283" t="n"/>
      <c r="M25" s="283" t="n"/>
      <c r="N25" s="283" t="n"/>
      <c r="O25" s="283" t="n"/>
      <c r="P25" s="208">
        <f>SUM(E25-I25)</f>
        <v/>
      </c>
    </row>
    <row r="26">
      <c r="A26" s="283" t="n"/>
      <c r="B26" s="283" t="n"/>
      <c r="C26" s="283" t="n"/>
      <c r="D26" s="270" t="n">
        <v>25</v>
      </c>
      <c r="E26" s="283" t="n"/>
      <c r="F26" s="12" t="inlineStr">
        <is>
          <t>PT-407</t>
        </is>
      </c>
      <c r="G26" s="283" t="n"/>
      <c r="H26" s="247" t="inlineStr">
        <is>
          <t>Compressure air receiver  Inlet pressure</t>
        </is>
      </c>
      <c r="I26" s="283" t="n"/>
      <c r="J26" s="283" t="n"/>
      <c r="K26" s="283" t="n"/>
      <c r="L26" s="283" t="n"/>
      <c r="M26" s="283" t="n"/>
      <c r="N26" s="283" t="n"/>
      <c r="O26" s="283" t="n"/>
      <c r="P26" s="208">
        <f>SUM(E26-I26)</f>
        <v/>
      </c>
    </row>
    <row r="27">
      <c r="A27" s="283" t="n"/>
      <c r="B27" s="283" t="n"/>
      <c r="C27" s="283" t="n"/>
      <c r="D27" s="270" t="n">
        <v>26</v>
      </c>
      <c r="E27" s="283" t="n"/>
      <c r="F27" s="270" t="inlineStr">
        <is>
          <t>PT-502</t>
        </is>
      </c>
      <c r="G27" s="283" t="n"/>
      <c r="H27" s="247" t="inlineStr">
        <is>
          <t>N2 Pr for injection vessel-A pressurisation</t>
        </is>
      </c>
      <c r="I27" s="283" t="n"/>
      <c r="J27" s="283" t="n"/>
      <c r="K27" s="283" t="n"/>
      <c r="L27" s="283" t="n"/>
      <c r="M27" s="283" t="n"/>
      <c r="N27" s="283" t="n"/>
      <c r="O27" s="283" t="n"/>
      <c r="P27" s="208">
        <f>SUM(E27-I27)</f>
        <v/>
      </c>
    </row>
    <row r="28">
      <c r="A28" s="283" t="n"/>
      <c r="B28" s="283" t="n"/>
      <c r="C28" s="283" t="n"/>
      <c r="D28" s="270" t="n">
        <v>27</v>
      </c>
      <c r="E28" s="283" t="n"/>
      <c r="F28" s="270" t="inlineStr">
        <is>
          <t>PT-503</t>
        </is>
      </c>
      <c r="G28" s="283" t="n"/>
      <c r="H28" s="247" t="inlineStr">
        <is>
          <t>N2 Pr for injection vessel-A fluidisation</t>
        </is>
      </c>
      <c r="I28" s="283" t="n"/>
      <c r="J28" s="283" t="n"/>
      <c r="K28" s="283" t="n"/>
      <c r="L28" s="283" t="n"/>
      <c r="M28" s="283" t="n"/>
      <c r="N28" s="283" t="n"/>
      <c r="O28" s="283" t="n"/>
      <c r="P28" s="208">
        <f>SUM(E28-I28)</f>
        <v/>
      </c>
    </row>
    <row r="29">
      <c r="A29" s="283" t="n"/>
      <c r="B29" s="283" t="n"/>
      <c r="C29" s="283" t="n"/>
      <c r="D29" s="270" t="n">
        <v>28</v>
      </c>
      <c r="E29" s="283" t="n"/>
      <c r="F29" s="270" t="inlineStr">
        <is>
          <t>PT-504</t>
        </is>
      </c>
      <c r="G29" s="283" t="n"/>
      <c r="H29" s="247" t="inlineStr">
        <is>
          <t>Conveying media Pr for injection vessel-A</t>
        </is>
      </c>
      <c r="I29" s="283" t="n"/>
      <c r="J29" s="283" t="n"/>
      <c r="K29" s="283" t="n"/>
      <c r="L29" s="283" t="n"/>
      <c r="M29" s="283" t="n"/>
      <c r="N29" s="283" t="n"/>
      <c r="O29" s="283" t="n"/>
      <c r="P29" s="208">
        <f>SUM(E29-I29)</f>
        <v/>
      </c>
    </row>
    <row r="30">
      <c r="A30" s="283" t="n"/>
      <c r="B30" s="283" t="n"/>
      <c r="C30" s="283" t="n"/>
      <c r="D30" s="270" t="n">
        <v>29</v>
      </c>
      <c r="E30" s="283" t="n"/>
      <c r="F30" s="270" t="inlineStr">
        <is>
          <t>PT-506</t>
        </is>
      </c>
      <c r="G30" s="283" t="n"/>
      <c r="H30" s="247" t="inlineStr">
        <is>
          <t>N2 Pr for injection vessel-B pressurisation</t>
        </is>
      </c>
      <c r="I30" s="283" t="n"/>
      <c r="J30" s="283" t="n"/>
      <c r="K30" s="283" t="n"/>
      <c r="L30" s="283" t="n"/>
      <c r="M30" s="283" t="n"/>
      <c r="N30" s="283" t="n"/>
      <c r="O30" s="283" t="n"/>
      <c r="P30" s="208">
        <f>SUM(E30-I30)</f>
        <v/>
      </c>
    </row>
    <row r="31">
      <c r="A31" s="283" t="n"/>
      <c r="B31" s="283" t="n"/>
      <c r="C31" s="283" t="n"/>
      <c r="D31" s="270" t="n">
        <v>30</v>
      </c>
      <c r="E31" s="283" t="n"/>
      <c r="F31" s="270" t="inlineStr">
        <is>
          <t>PT-507</t>
        </is>
      </c>
      <c r="G31" s="283" t="n"/>
      <c r="H31" s="247" t="inlineStr">
        <is>
          <t>N2 Pr for injection vessel-B fluidisation</t>
        </is>
      </c>
      <c r="I31" s="283" t="n"/>
      <c r="J31" s="283" t="n"/>
      <c r="K31" s="283" t="n"/>
      <c r="L31" s="283" t="n"/>
      <c r="M31" s="283" t="n"/>
      <c r="N31" s="283" t="n"/>
      <c r="O31" s="283" t="n"/>
      <c r="P31" s="208">
        <f>SUM(E31-I31)</f>
        <v/>
      </c>
    </row>
    <row r="32">
      <c r="A32" s="283" t="n"/>
      <c r="B32" s="283" t="n"/>
      <c r="C32" s="283" t="n"/>
      <c r="D32" s="270" t="n">
        <v>31</v>
      </c>
      <c r="E32" s="283" t="n"/>
      <c r="F32" s="270" t="inlineStr">
        <is>
          <t>PT-508</t>
        </is>
      </c>
      <c r="G32" s="283" t="n"/>
      <c r="H32" s="247" t="inlineStr">
        <is>
          <t>Conveying media Pr for injection vessel-B</t>
        </is>
      </c>
      <c r="I32" s="283" t="n"/>
      <c r="J32" s="283" t="n"/>
      <c r="K32" s="283" t="n"/>
      <c r="L32" s="283" t="n"/>
      <c r="M32" s="283" t="n"/>
      <c r="N32" s="283" t="n"/>
      <c r="O32" s="283" t="n"/>
      <c r="P32" s="208">
        <f>SUM(E32-I32)</f>
        <v/>
      </c>
    </row>
    <row r="33">
      <c r="A33" s="283" t="n"/>
      <c r="B33" s="283" t="n"/>
      <c r="C33" s="283" t="n"/>
      <c r="D33" s="270" t="n">
        <v>32</v>
      </c>
      <c r="E33" s="283" t="n"/>
      <c r="F33" s="270" t="inlineStr">
        <is>
          <t>PT-510</t>
        </is>
      </c>
      <c r="G33" s="283" t="n"/>
      <c r="H33" s="247" t="inlineStr">
        <is>
          <t>N2 Pr for injection vessel-C pressurisation</t>
        </is>
      </c>
      <c r="I33" s="283" t="n"/>
      <c r="J33" s="283" t="n"/>
      <c r="K33" s="283" t="n"/>
      <c r="L33" s="283" t="n"/>
      <c r="M33" s="283" t="n"/>
      <c r="N33" s="283" t="n"/>
      <c r="O33" s="283" t="n"/>
      <c r="P33" s="208">
        <f>SUM(E33-I33)</f>
        <v/>
      </c>
    </row>
    <row r="34">
      <c r="A34" s="283" t="n"/>
      <c r="B34" s="283" t="n"/>
      <c r="C34" s="283" t="n"/>
      <c r="D34" s="270" t="n">
        <v>33</v>
      </c>
      <c r="E34" s="283" t="n"/>
      <c r="F34" s="270" t="inlineStr">
        <is>
          <t>PT-511</t>
        </is>
      </c>
      <c r="G34" s="283" t="n"/>
      <c r="H34" s="247" t="inlineStr">
        <is>
          <t>N2 Pr for injection vessel-C fluidisation</t>
        </is>
      </c>
      <c r="I34" s="283" t="n"/>
      <c r="J34" s="283" t="n"/>
      <c r="K34" s="283" t="n"/>
      <c r="L34" s="283" t="n"/>
      <c r="M34" s="283" t="n"/>
      <c r="N34" s="283" t="n"/>
      <c r="O34" s="283" t="n"/>
      <c r="P34" s="208">
        <f>SUM(E34-I34)</f>
        <v/>
      </c>
    </row>
    <row r="35">
      <c r="A35" s="283" t="n"/>
      <c r="B35" s="283" t="n"/>
      <c r="C35" s="283" t="n"/>
      <c r="D35" s="270" t="n">
        <v>34</v>
      </c>
      <c r="E35" s="283" t="n"/>
      <c r="F35" s="270" t="inlineStr">
        <is>
          <t>PT-512</t>
        </is>
      </c>
      <c r="G35" s="283" t="n"/>
      <c r="H35" s="247" t="inlineStr">
        <is>
          <t>Conveying media Pr for injection vessel-C</t>
        </is>
      </c>
      <c r="I35" s="283" t="n"/>
      <c r="J35" s="283" t="n"/>
      <c r="K35" s="283" t="n"/>
      <c r="L35" s="283" t="n"/>
      <c r="M35" s="283" t="n"/>
      <c r="N35" s="283" t="n"/>
      <c r="O35" s="283" t="n"/>
      <c r="P35" s="208">
        <f>SUM(E35-I35)</f>
        <v/>
      </c>
    </row>
    <row r="36">
      <c r="A36" s="283" t="n"/>
      <c r="B36" s="283" t="n"/>
      <c r="C36" s="283" t="n"/>
      <c r="D36" s="270" t="n">
        <v>35</v>
      </c>
      <c r="E36" s="283" t="n"/>
      <c r="F36" s="270" t="inlineStr">
        <is>
          <t>PT-514</t>
        </is>
      </c>
      <c r="G36" s="283" t="n"/>
      <c r="H36" s="247" t="inlineStr">
        <is>
          <t>N2 Pr for injection vessel-D pressurisation</t>
        </is>
      </c>
      <c r="I36" s="283" t="n"/>
      <c r="J36" s="283" t="n"/>
      <c r="K36" s="283" t="n"/>
      <c r="L36" s="283" t="n"/>
      <c r="M36" s="283" t="n"/>
      <c r="N36" s="283" t="n"/>
      <c r="O36" s="283" t="n"/>
      <c r="P36" s="208">
        <f>SUM(E36-I36)</f>
        <v/>
      </c>
    </row>
    <row r="37">
      <c r="A37" s="283" t="n"/>
      <c r="B37" s="283" t="n"/>
      <c r="C37" s="283" t="n"/>
      <c r="D37" s="270" t="n">
        <v>36</v>
      </c>
      <c r="E37" s="283" t="n"/>
      <c r="F37" s="270" t="inlineStr">
        <is>
          <t>PT-515</t>
        </is>
      </c>
      <c r="G37" s="283" t="n"/>
      <c r="H37" s="247" t="inlineStr">
        <is>
          <t>N2 Pr for injection vessel-D fluidisation</t>
        </is>
      </c>
      <c r="I37" s="283" t="n"/>
      <c r="J37" s="283" t="n"/>
      <c r="K37" s="283" t="n"/>
      <c r="L37" s="283" t="n"/>
      <c r="M37" s="283" t="n"/>
      <c r="N37" s="283" t="n"/>
      <c r="O37" s="283" t="n"/>
      <c r="P37" s="208">
        <f>SUM(E37-I37)</f>
        <v/>
      </c>
    </row>
    <row r="38">
      <c r="A38" s="283" t="n"/>
      <c r="B38" s="283" t="n"/>
      <c r="C38" s="283" t="n"/>
      <c r="D38" s="270" t="n">
        <v>37</v>
      </c>
      <c r="E38" s="283" t="n"/>
      <c r="F38" s="270" t="inlineStr">
        <is>
          <t>PT-516</t>
        </is>
      </c>
      <c r="G38" s="283" t="n"/>
      <c r="H38" s="247" t="inlineStr">
        <is>
          <t>Conveying media Pr for injection vessel-D</t>
        </is>
      </c>
      <c r="I38" s="283" t="n"/>
      <c r="J38" s="283" t="n"/>
      <c r="K38" s="283" t="n"/>
      <c r="L38" s="283" t="n"/>
      <c r="M38" s="283" t="n"/>
      <c r="N38" s="283" t="n"/>
      <c r="O38" s="283" t="n"/>
      <c r="P38" s="208">
        <f>SUM(E38-I38)</f>
        <v/>
      </c>
    </row>
    <row r="39">
      <c r="A39" s="281" t="n"/>
      <c r="B39" s="281" t="n"/>
      <c r="C39" s="281" t="n"/>
      <c r="D39" s="270" t="n">
        <v>38</v>
      </c>
      <c r="E39" s="281" t="n"/>
      <c r="F39" s="270" t="inlineStr">
        <is>
          <t>PT-601</t>
        </is>
      </c>
      <c r="G39" s="281" t="n"/>
      <c r="H39" s="247" t="inlineStr">
        <is>
          <t>Cooling  pump discharge water pr</t>
        </is>
      </c>
      <c r="I39" s="281" t="n"/>
      <c r="J39" s="281" t="n"/>
      <c r="K39" s="281" t="n"/>
      <c r="L39" s="281" t="n"/>
      <c r="M39" s="281" t="n"/>
      <c r="N39" s="281" t="n"/>
      <c r="O39" s="281" t="n"/>
      <c r="P39" s="208">
        <f>SUM(E39-I39)</f>
        <v/>
      </c>
    </row>
    <row r="40">
      <c r="A40" s="270" t="n">
        <v>10</v>
      </c>
      <c r="B40" s="248" t="inlineStr">
        <is>
          <t>PCI_PT 3051L7A 0-10Kg/cm²</t>
        </is>
      </c>
      <c r="C40" s="270" t="n">
        <v>8</v>
      </c>
      <c r="D40" s="270" t="n">
        <v>39</v>
      </c>
      <c r="E40" s="271" t="n">
        <v>2</v>
      </c>
      <c r="F40" s="270" t="inlineStr">
        <is>
          <t>PT-501</t>
        </is>
      </c>
      <c r="G40" s="248" t="inlineStr">
        <is>
          <t xml:space="preserve">3051L7AG0QA-11BA01K5L5M3J1  &amp; STR74G-11A0000-000000000-0-AHC-11C-0-01A0-00-000
Range: 0-10Kg/cm², output signal: 4-20mADC, with digital display, HART digital communication, intrinsically safe &amp; explosion-proof typematched with one nos. of ø50 flange     (HONEYWELL)                                                          </t>
        </is>
      </c>
      <c r="H40" s="247" t="inlineStr">
        <is>
          <t>Pressure of injection vessel-A</t>
        </is>
      </c>
      <c r="I40" s="247" t="n">
        <v>4</v>
      </c>
      <c r="J40" s="247" t="n">
        <v>4</v>
      </c>
      <c r="K40" s="247" t="n"/>
      <c r="L40" s="247" t="n"/>
      <c r="M40" s="247" t="n"/>
      <c r="N40" s="247" t="n"/>
      <c r="O40" s="247" t="n"/>
      <c r="P40" s="208">
        <f>SUM(E40-I40)</f>
        <v/>
      </c>
    </row>
    <row r="41">
      <c r="A41" s="283" t="n"/>
      <c r="B41" s="283" t="n"/>
      <c r="C41" s="283" t="n"/>
      <c r="D41" s="270" t="n">
        <v>40</v>
      </c>
      <c r="E41" s="283" t="n"/>
      <c r="F41" s="270" t="inlineStr">
        <is>
          <t>PT-505</t>
        </is>
      </c>
      <c r="G41" s="283" t="n"/>
      <c r="H41" s="247" t="inlineStr">
        <is>
          <t>Pressure of injection vessel-B</t>
        </is>
      </c>
      <c r="I41" s="283" t="n"/>
      <c r="J41" s="283" t="n"/>
      <c r="K41" s="283" t="n"/>
      <c r="L41" s="283" t="n"/>
      <c r="M41" s="283" t="n"/>
      <c r="N41" s="283" t="n"/>
      <c r="O41" s="283" t="n"/>
      <c r="P41" s="208">
        <f>SUM(E41-I41)</f>
        <v/>
      </c>
    </row>
    <row r="42">
      <c r="A42" s="283" t="n"/>
      <c r="B42" s="283" t="n"/>
      <c r="C42" s="283" t="n"/>
      <c r="D42" s="270" t="n">
        <v>41</v>
      </c>
      <c r="E42" s="283" t="n"/>
      <c r="F42" s="270" t="inlineStr">
        <is>
          <t>PT-509</t>
        </is>
      </c>
      <c r="G42" s="283" t="n"/>
      <c r="H42" s="247" t="inlineStr">
        <is>
          <t>Pressure of injection vessel-C</t>
        </is>
      </c>
      <c r="I42" s="283" t="n"/>
      <c r="J42" s="283" t="n"/>
      <c r="K42" s="283" t="n"/>
      <c r="L42" s="283" t="n"/>
      <c r="M42" s="283" t="n"/>
      <c r="N42" s="283" t="n"/>
      <c r="O42" s="283" t="n"/>
      <c r="P42" s="208">
        <f>SUM(E42-I42)</f>
        <v/>
      </c>
    </row>
    <row r="43">
      <c r="A43" s="283" t="n"/>
      <c r="B43" s="283" t="n"/>
      <c r="C43" s="283" t="n"/>
      <c r="D43" s="270" t="n">
        <v>42</v>
      </c>
      <c r="E43" s="283" t="n"/>
      <c r="F43" s="270" t="inlineStr">
        <is>
          <t>PT-513</t>
        </is>
      </c>
      <c r="G43" s="283" t="n"/>
      <c r="H43" s="247" t="inlineStr">
        <is>
          <t>Pressure of injection vessel-D</t>
        </is>
      </c>
      <c r="I43" s="283" t="n"/>
      <c r="J43" s="283" t="n"/>
      <c r="K43" s="283" t="n"/>
      <c r="L43" s="283" t="n"/>
      <c r="M43" s="283" t="n"/>
      <c r="N43" s="283" t="n"/>
      <c r="O43" s="283" t="n"/>
      <c r="P43" s="208">
        <f>SUM(E43-I43)</f>
        <v/>
      </c>
    </row>
    <row r="44">
      <c r="A44" s="283" t="n"/>
      <c r="B44" s="283" t="n"/>
      <c r="C44" s="283" t="n"/>
      <c r="D44" s="270" t="n">
        <v>43</v>
      </c>
      <c r="E44" s="283" t="n"/>
      <c r="F44" s="270" t="inlineStr">
        <is>
          <t>PT-517</t>
        </is>
      </c>
      <c r="G44" s="283" t="n"/>
      <c r="H44" s="247" t="inlineStr">
        <is>
          <t>MBF-B conveying line pr</t>
        </is>
      </c>
      <c r="I44" s="283" t="n"/>
      <c r="J44" s="283" t="n"/>
      <c r="K44" s="283" t="n"/>
      <c r="L44" s="283" t="n"/>
      <c r="M44" s="283" t="n"/>
      <c r="N44" s="283" t="n"/>
      <c r="O44" s="283" t="n"/>
      <c r="P44" s="208">
        <f>SUM(E44-I44)</f>
        <v/>
      </c>
    </row>
    <row r="45">
      <c r="A45" s="283" t="n"/>
      <c r="B45" s="283" t="n"/>
      <c r="C45" s="283" t="n"/>
      <c r="D45" s="270" t="n">
        <v>44</v>
      </c>
      <c r="E45" s="283" t="n"/>
      <c r="F45" s="270" t="inlineStr">
        <is>
          <t>PT-518</t>
        </is>
      </c>
      <c r="G45" s="283" t="n"/>
      <c r="H45" s="247" t="inlineStr">
        <is>
          <t>MBF-B distributer inlet pr</t>
        </is>
      </c>
      <c r="I45" s="283" t="n"/>
      <c r="J45" s="283" t="n"/>
      <c r="K45" s="283" t="n"/>
      <c r="L45" s="283" t="n"/>
      <c r="M45" s="283" t="n"/>
      <c r="N45" s="283" t="n"/>
      <c r="O45" s="283" t="n"/>
      <c r="P45" s="208">
        <f>SUM(E45-I45)</f>
        <v/>
      </c>
    </row>
    <row r="46">
      <c r="A46" s="283" t="n"/>
      <c r="B46" s="283" t="n"/>
      <c r="C46" s="283" t="n"/>
      <c r="D46" s="270" t="n">
        <v>45</v>
      </c>
      <c r="E46" s="283" t="n"/>
      <c r="F46" s="270" t="inlineStr">
        <is>
          <t>PT-519</t>
        </is>
      </c>
      <c r="G46" s="283" t="n"/>
      <c r="H46" s="247" t="inlineStr">
        <is>
          <t>MBF-A conveying line pr</t>
        </is>
      </c>
      <c r="I46" s="283" t="n"/>
      <c r="J46" s="283" t="n"/>
      <c r="K46" s="283" t="n"/>
      <c r="L46" s="283" t="n"/>
      <c r="M46" s="283" t="n"/>
      <c r="N46" s="283" t="n"/>
      <c r="O46" s="283" t="n"/>
      <c r="P46" s="208">
        <f>SUM(E46-I46)</f>
        <v/>
      </c>
    </row>
    <row r="47">
      <c r="A47" s="281" t="n"/>
      <c r="B47" s="281" t="n"/>
      <c r="C47" s="281" t="n"/>
      <c r="D47" s="270" t="n">
        <v>46</v>
      </c>
      <c r="E47" s="281" t="n"/>
      <c r="F47" s="270" t="inlineStr">
        <is>
          <t>PT-520</t>
        </is>
      </c>
      <c r="G47" s="281" t="n"/>
      <c r="H47" s="247" t="inlineStr">
        <is>
          <t>MBF-A distributer inlet pr</t>
        </is>
      </c>
      <c r="I47" s="281" t="n"/>
      <c r="J47" s="281" t="n"/>
      <c r="K47" s="281" t="n"/>
      <c r="L47" s="281" t="n"/>
      <c r="M47" s="281" t="n"/>
      <c r="N47" s="281" t="n"/>
      <c r="O47" s="281" t="n"/>
      <c r="P47" s="208">
        <f>SUM(E47-I47)</f>
        <v/>
      </c>
    </row>
    <row r="48">
      <c r="C48" s="58">
        <f>SUM(C13:C47)</f>
        <v/>
      </c>
      <c r="D48" s="268" t="n"/>
      <c r="E48" s="268" t="n"/>
      <c r="F48" s="270" t="n"/>
      <c r="G48" s="223" t="n"/>
      <c r="H48" s="223" t="n"/>
      <c r="I48" s="223" t="n"/>
      <c r="J48" s="223" t="n"/>
      <c r="K48" s="223" t="n"/>
      <c r="L48" s="223" t="n"/>
      <c r="M48" s="223" t="n"/>
      <c r="N48" s="223" t="n"/>
      <c r="O48" s="223" t="n"/>
      <c r="P48" s="208">
        <f>SUM(P1:P47)</f>
        <v/>
      </c>
      <c r="Q48" s="223" t="inlineStr">
        <is>
          <t>TOTAL</t>
        </is>
      </c>
    </row>
  </sheetData>
  <mergeCells count="29">
    <mergeCell ref="M13:M39"/>
    <mergeCell ref="G40:G47"/>
    <mergeCell ref="B13:B39"/>
    <mergeCell ref="I40:I47"/>
    <mergeCell ref="A40:A47"/>
    <mergeCell ref="N13:N39"/>
    <mergeCell ref="C9:C10"/>
    <mergeCell ref="E9:E10"/>
    <mergeCell ref="A13:A39"/>
    <mergeCell ref="I13:I39"/>
    <mergeCell ref="K13:K39"/>
    <mergeCell ref="C13:C39"/>
    <mergeCell ref="C40:C47"/>
    <mergeCell ref="B9:B10"/>
    <mergeCell ref="O13:O39"/>
    <mergeCell ref="J40:J47"/>
    <mergeCell ref="K40:K47"/>
    <mergeCell ref="E40:E47"/>
    <mergeCell ref="M40:M47"/>
    <mergeCell ref="J13:J39"/>
    <mergeCell ref="L13:L39"/>
    <mergeCell ref="G9:G10"/>
    <mergeCell ref="E13:E39"/>
    <mergeCell ref="L40:L47"/>
    <mergeCell ref="A9:A10"/>
    <mergeCell ref="G13:G39"/>
    <mergeCell ref="B40:B47"/>
    <mergeCell ref="O40:O47"/>
    <mergeCell ref="N40:N47"/>
  </mergeCells>
  <pageMargins left="0.25" right="0.25" top="0.75" bottom="0.75" header="0.3" footer="0.3"/>
  <pageSetup orientation="portrait" scale="5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21"/>
  <sheetViews>
    <sheetView topLeftCell="C1" zoomScale="87" zoomScaleNormal="87" workbookViewId="0">
      <selection activeCell="O1" sqref="O1"/>
    </sheetView>
  </sheetViews>
  <sheetFormatPr baseColWidth="8" defaultRowHeight="15"/>
  <cols>
    <col width="6.28515625" bestFit="1" customWidth="1" style="58" min="1" max="1"/>
    <col width="26.5703125" bestFit="1" customWidth="1" style="126" min="2" max="2"/>
    <col width="5.85546875" customWidth="1" style="162" min="3" max="3"/>
    <col width="7.28515625" customWidth="1" style="162" min="4" max="4"/>
    <col width="7.85546875" bestFit="1" customWidth="1" style="126" min="5" max="5"/>
    <col width="64.85546875" customWidth="1" style="126" min="6" max="6"/>
    <col width="39.5703125" customWidth="1" style="126" min="7" max="7"/>
    <col width="10.7109375" customWidth="1" style="162" min="8" max="8"/>
    <col width="7.28515625" customWidth="1" style="5" min="9" max="9"/>
    <col width="7.7109375" customWidth="1" style="126" min="10" max="10"/>
    <col width="6.28515625" customWidth="1" style="126" min="11" max="11"/>
    <col width="6.5703125" customWidth="1" style="126" min="12" max="12"/>
    <col width="7.140625" customWidth="1" style="126" min="13" max="13"/>
    <col width="6.7109375" customWidth="1" style="126" min="14" max="14"/>
    <col width="20" customWidth="1" style="126" min="15" max="15"/>
  </cols>
  <sheetData>
    <row r="1" ht="56.25" customHeight="1" s="126">
      <c r="A1" s="55" t="inlineStr">
        <is>
          <t>SL.NO</t>
        </is>
      </c>
      <c r="B1" s="47" t="inlineStr">
        <is>
          <t>SHORT DESCRIPTION</t>
        </is>
      </c>
      <c r="C1" s="115" t="inlineStr">
        <is>
          <t xml:space="preserve"> Qty Instld</t>
        </is>
      </c>
      <c r="D1" s="115" t="inlineStr">
        <is>
          <t>Qty Req</t>
        </is>
      </c>
      <c r="E1" s="115" t="inlineStr">
        <is>
          <t>TAG NO</t>
        </is>
      </c>
      <c r="F1" s="115" t="inlineStr">
        <is>
          <t>DESCRIPTION</t>
        </is>
      </c>
      <c r="G1" s="121" t="inlineStr">
        <is>
          <t>INSTALATION SITE</t>
        </is>
      </c>
      <c r="H1" s="116" t="inlineStr">
        <is>
          <t>Qty avbl</t>
        </is>
      </c>
      <c r="I1" s="212" t="inlineStr">
        <is>
          <t>JUL</t>
        </is>
      </c>
      <c r="J1" s="117" t="inlineStr">
        <is>
          <t>AUG</t>
        </is>
      </c>
      <c r="K1" s="117" t="inlineStr">
        <is>
          <t>SEP</t>
        </is>
      </c>
      <c r="L1" s="117" t="inlineStr">
        <is>
          <t>OCT</t>
        </is>
      </c>
      <c r="M1" s="117" t="inlineStr">
        <is>
          <t>NOV</t>
        </is>
      </c>
      <c r="N1" s="117" t="inlineStr">
        <is>
          <t>DEC</t>
        </is>
      </c>
      <c r="O1" s="211" t="inlineStr">
        <is>
          <t>Spare to be indent</t>
        </is>
      </c>
    </row>
    <row r="2" ht="96.75" customHeight="1" s="126">
      <c r="A2" s="225" t="n">
        <v>1</v>
      </c>
      <c r="B2" s="1" t="inlineStr">
        <is>
          <t>PCI_FT (0-2.5 kpa)</t>
        </is>
      </c>
      <c r="C2" s="275" t="n">
        <v>1</v>
      </c>
      <c r="D2" s="118" t="n">
        <v>1</v>
      </c>
      <c r="E2" s="119" t="inlineStr">
        <is>
          <t>FT-201</t>
        </is>
      </c>
      <c r="F2" s="109" t="inlineStr">
        <is>
          <t>Model:-JSYH-BK-377+3051DP
Range: 0-6000Nm³N/h. Output signal: 4-20mADC, with digital display, HART digital communication. See Throttle Device Consultation for others, matched with stainless steel tri-valve set</t>
        </is>
      </c>
      <c r="G2" s="120" t="inlineStr">
        <is>
          <t>BFG Flow at HGG inlet</t>
        </is>
      </c>
      <c r="H2" s="275" t="n">
        <v>1</v>
      </c>
      <c r="I2" s="109" t="n">
        <v>1</v>
      </c>
      <c r="J2" s="120" t="n"/>
      <c r="K2" s="114" t="n"/>
      <c r="L2" s="114" t="n"/>
      <c r="M2" s="114" t="n"/>
      <c r="N2" s="114" t="n"/>
      <c r="O2" s="208">
        <f>SUM(D2-H2)</f>
        <v/>
      </c>
    </row>
    <row r="3" ht="92.25" customHeight="1" s="126">
      <c r="A3" s="225" t="n">
        <v>2</v>
      </c>
      <c r="B3" s="1" t="inlineStr">
        <is>
          <t>PCI_FT (0-6 kpa)</t>
        </is>
      </c>
      <c r="C3" s="275" t="n">
        <v>1</v>
      </c>
      <c r="D3" s="118" t="n">
        <v>1</v>
      </c>
      <c r="E3" s="119" t="inlineStr">
        <is>
          <t>FT-202</t>
        </is>
      </c>
      <c r="F3" s="109" t="inlineStr">
        <is>
          <t>Model:-JSYH-BK-325+3051DP
Range: 0-6000Nm³N/h. Output signal: 4-20mADC, with digital display, HART digital communication. See Throttle Device Consultation for others, matched with stainless steel tri-valve set</t>
        </is>
      </c>
      <c r="G3" s="120" t="inlineStr">
        <is>
          <t>CA Flow at HGG inlet</t>
        </is>
      </c>
      <c r="H3" s="275" t="n">
        <v>0</v>
      </c>
      <c r="I3" s="109" t="n">
        <v>0</v>
      </c>
      <c r="J3" s="120" t="n"/>
      <c r="K3" s="114" t="n"/>
      <c r="L3" s="114" t="n"/>
      <c r="M3" s="114" t="n"/>
      <c r="N3" s="114" t="n"/>
      <c r="O3" s="208">
        <f>SUM(D3-H3)</f>
        <v/>
      </c>
    </row>
    <row r="4" ht="93.75" customHeight="1" s="126">
      <c r="A4" s="225" t="n">
        <v>3</v>
      </c>
      <c r="B4" s="1" t="inlineStr">
        <is>
          <t>PCI_FT (0-467.7 pa)</t>
        </is>
      </c>
      <c r="C4" s="275" t="n">
        <v>1</v>
      </c>
      <c r="D4" s="118" t="n">
        <v>1</v>
      </c>
      <c r="E4" s="119" t="inlineStr">
        <is>
          <t>FT-203</t>
        </is>
      </c>
      <c r="F4" s="114" t="inlineStr">
        <is>
          <t>Model:-JSYH-YSG-820+3051DP
Range: 0-30000Nm³N/h. Output signal: 4-20mADC, with digital display, HART digital communication. See Throttle Device Consultation for others, matched with stainless steel tri-valve set</t>
        </is>
      </c>
      <c r="G4" s="120" t="inlineStr">
        <is>
          <t xml:space="preserve">HGG inlet recirculation gas flow </t>
        </is>
      </c>
      <c r="H4" s="275" t="n">
        <v>0</v>
      </c>
      <c r="I4" s="109" t="n">
        <v>0</v>
      </c>
      <c r="J4" s="120" t="n"/>
      <c r="K4" s="114" t="n"/>
      <c r="L4" s="114" t="n"/>
      <c r="M4" s="114" t="n"/>
      <c r="N4" s="114" t="n"/>
      <c r="O4" s="208">
        <f>SUM(D4-H4)</f>
        <v/>
      </c>
    </row>
    <row r="5" ht="93.75" customHeight="1" s="126">
      <c r="A5" s="225" t="n">
        <v>4</v>
      </c>
      <c r="B5" s="1" t="inlineStr">
        <is>
          <t>PCI_FT (0-1427.8 pa)</t>
        </is>
      </c>
      <c r="C5" s="275" t="n">
        <v>1</v>
      </c>
      <c r="D5" s="118" t="n">
        <v>1</v>
      </c>
      <c r="E5" s="119" t="inlineStr">
        <is>
          <t>FT-301</t>
        </is>
      </c>
      <c r="F5" s="114" t="inlineStr">
        <is>
          <t>Model No:-JSYH-YSG-920+3051DP
Range: 0-65000Nm³N/h. Output signal: 4-20mADC, with digital display, HART digital communication. See Throttle Device Consultation for others, matched with stainless steel tri-valve set</t>
        </is>
      </c>
      <c r="G5" s="120" t="inlineStr">
        <is>
          <t>Bag filter outlet gas flow</t>
        </is>
      </c>
      <c r="H5" s="275" t="n">
        <v>0</v>
      </c>
      <c r="I5" s="109" t="n">
        <v>0</v>
      </c>
      <c r="J5" s="120" t="n"/>
      <c r="K5" s="114" t="n"/>
      <c r="L5" s="114" t="n"/>
      <c r="M5" s="114" t="n"/>
      <c r="N5" s="114" t="n"/>
      <c r="O5" s="208">
        <f>SUM(D5-H5)</f>
        <v/>
      </c>
    </row>
    <row r="6" ht="93.75" customHeight="1" s="126">
      <c r="A6" s="225" t="n">
        <v>5</v>
      </c>
      <c r="B6" s="1" t="inlineStr">
        <is>
          <t>PCI_FT (0-16kpa)</t>
        </is>
      </c>
      <c r="C6" s="275" t="n">
        <v>1</v>
      </c>
      <c r="D6" s="118" t="n">
        <v>1</v>
      </c>
      <c r="E6" s="119" t="inlineStr">
        <is>
          <t>FT-401</t>
        </is>
      </c>
      <c r="F6" s="114" t="inlineStr">
        <is>
          <t>Model No:-JSYH-BK-108+3051DP
Range: 2500Nm³N/h. Output signal: 4-20mADC, with digital display, HART digital communication. See Throttle Device Consultation for others, matched with stainless steel tri-valve set</t>
        </is>
      </c>
      <c r="G6" s="120" t="inlineStr">
        <is>
          <t>Nitrogen receiver Inlet flow</t>
        </is>
      </c>
      <c r="H6" s="275" t="n">
        <v>0</v>
      </c>
      <c r="I6" s="109" t="n">
        <v>0</v>
      </c>
      <c r="J6" s="120" t="n"/>
      <c r="K6" s="114" t="n"/>
      <c r="L6" s="114" t="n"/>
      <c r="M6" s="114" t="n"/>
      <c r="N6" s="114" t="n"/>
      <c r="O6" s="208">
        <f>SUM(D6-H6)</f>
        <v/>
      </c>
    </row>
    <row r="7" ht="93.75" customHeight="1" s="126">
      <c r="A7" s="225" t="n">
        <v>6</v>
      </c>
      <c r="B7" s="1" t="inlineStr">
        <is>
          <t>PCI_FT (0-10kpa)</t>
        </is>
      </c>
      <c r="C7" s="275" t="n">
        <v>1</v>
      </c>
      <c r="D7" s="118" t="n">
        <v>1</v>
      </c>
      <c r="E7" s="119" t="inlineStr">
        <is>
          <t>FT-402</t>
        </is>
      </c>
      <c r="F7" s="114" t="inlineStr">
        <is>
          <t>Model No:-JSYH-BK-108+3051DP
Range: 2000Nm³N/h. Output signal: 4-20mADC, with digital display, HART digital communication. See Throttle Device Consultation for others, matched with stainless steel tri-valve set</t>
        </is>
      </c>
      <c r="G7" s="120" t="inlineStr">
        <is>
          <t>Compressure air  receiver Inlet flow</t>
        </is>
      </c>
      <c r="H7" s="275" t="n">
        <v>0</v>
      </c>
      <c r="I7" s="109" t="n">
        <v>0</v>
      </c>
      <c r="J7" s="120" t="n"/>
      <c r="K7" s="114" t="n"/>
      <c r="L7" s="114" t="n"/>
      <c r="M7" s="114" t="n"/>
      <c r="N7" s="114" t="n"/>
      <c r="O7" s="208">
        <f>SUM(D7-H7)</f>
        <v/>
      </c>
    </row>
    <row r="8" ht="93.75" customHeight="1" s="126">
      <c r="A8" s="270" t="n">
        <v>7</v>
      </c>
      <c r="B8" s="1" t="inlineStr">
        <is>
          <t>PCI_FT (0-7 kpa)</t>
        </is>
      </c>
      <c r="C8" s="275" t="n">
        <v>4</v>
      </c>
      <c r="D8" s="118" t="n">
        <v>1</v>
      </c>
      <c r="E8" s="119" t="inlineStr">
        <is>
          <t>FT-502</t>
        </is>
      </c>
      <c r="F8" s="114" t="inlineStr">
        <is>
          <t>Model No:- JSYH-BK-48+3051DP
Range: 300Nm³N/h. Output signal: 4-20mADC, with digital display, HART digital communication. See Throttle Device Consultation for others, matched with stainless steel tri-valve set</t>
        </is>
      </c>
      <c r="G8" s="120" t="inlineStr">
        <is>
          <t>N2 Flow for injection vessel-A fluidisation</t>
        </is>
      </c>
      <c r="H8" s="275" t="n">
        <v>0</v>
      </c>
      <c r="I8" s="109" t="n">
        <v>0</v>
      </c>
      <c r="J8" s="120" t="n"/>
      <c r="K8" s="114" t="n"/>
      <c r="L8" s="114" t="n"/>
      <c r="M8" s="114" t="n"/>
      <c r="N8" s="114" t="n"/>
      <c r="O8" s="208">
        <f>SUM(D8-H8)</f>
        <v/>
      </c>
    </row>
    <row r="9" ht="93.75" customHeight="1" s="126">
      <c r="A9" s="283" t="n"/>
      <c r="B9" s="283" t="n"/>
      <c r="C9" s="283" t="n"/>
      <c r="D9" s="283" t="n"/>
      <c r="E9" s="119" t="inlineStr">
        <is>
          <t>FT-505</t>
        </is>
      </c>
      <c r="F9" s="114" t="inlineStr">
        <is>
          <t>Model No:- JSYH-BK-48+3051DP
Range: 300Nm³N/h. Output signal: 4-20mADC, with digital display, HART digital communication. See Throttle Device Consultation for others, matched with stainless steel tri-valve set</t>
        </is>
      </c>
      <c r="G9" s="120" t="inlineStr">
        <is>
          <t>N2 Flow for injection vessel-B fluidisation</t>
        </is>
      </c>
      <c r="H9" s="275" t="n">
        <v>0</v>
      </c>
      <c r="I9" s="109" t="n">
        <v>0</v>
      </c>
      <c r="J9" s="120" t="n"/>
      <c r="K9" s="114" t="n"/>
      <c r="L9" s="114" t="n"/>
      <c r="M9" s="114" t="n"/>
      <c r="N9" s="114" t="n"/>
      <c r="O9" s="208">
        <f>SUM(D9-H9)</f>
        <v/>
      </c>
    </row>
    <row r="10" ht="93.75" customHeight="1" s="126">
      <c r="A10" s="283" t="n"/>
      <c r="B10" s="283" t="n"/>
      <c r="C10" s="283" t="n"/>
      <c r="D10" s="283" t="n"/>
      <c r="E10" s="119" t="inlineStr">
        <is>
          <t>FT-508</t>
        </is>
      </c>
      <c r="F10" s="114" t="inlineStr">
        <is>
          <t>Model No:- JSYH-BK-48+3051DP
Range: 300Nm³N/h. Output signal: 4-20mADC, with digital display, HART digital communication. See Throttle Device Consultation for others, matched with stainless steel tri-valve set</t>
        </is>
      </c>
      <c r="G10" s="120" t="inlineStr">
        <is>
          <t>N2 Flow for injection vessel-C fluidisation</t>
        </is>
      </c>
      <c r="H10" s="275" t="n">
        <v>0</v>
      </c>
      <c r="I10" s="109" t="n">
        <v>0</v>
      </c>
      <c r="J10" s="120" t="n"/>
      <c r="K10" s="114" t="n"/>
      <c r="L10" s="114" t="n"/>
      <c r="M10" s="114" t="n"/>
      <c r="N10" s="114" t="n"/>
      <c r="O10" s="208">
        <f>SUM(D10-H10)</f>
        <v/>
      </c>
    </row>
    <row r="11" ht="93.75" customHeight="1" s="126">
      <c r="A11" s="281" t="n"/>
      <c r="B11" s="281" t="n"/>
      <c r="C11" s="281" t="n"/>
      <c r="D11" s="281" t="n"/>
      <c r="E11" s="119" t="inlineStr">
        <is>
          <t>FT-511</t>
        </is>
      </c>
      <c r="F11" s="114" t="inlineStr">
        <is>
          <t>Model No:- JSYH-BK-48+3051DP
Range: 300Nm³N/h. Output signal: 4-20mADC, with digital display, HART digital communication. See Throttle Device Consultation for others, matched with stainless steel tri-valve set</t>
        </is>
      </c>
      <c r="G11" s="120" t="inlineStr">
        <is>
          <t>N2 Flow for injection vessel-D fluidisation</t>
        </is>
      </c>
      <c r="H11" s="275" t="n">
        <v>0</v>
      </c>
      <c r="I11" s="109" t="n">
        <v>0</v>
      </c>
      <c r="J11" s="120" t="n"/>
      <c r="K11" s="114" t="n"/>
      <c r="L11" s="114" t="n"/>
      <c r="M11" s="114" t="n"/>
      <c r="N11" s="114" t="n"/>
      <c r="O11" s="208">
        <f>SUM(D11-H11)</f>
        <v/>
      </c>
    </row>
    <row r="12" ht="93.75" customHeight="1" s="126">
      <c r="A12" s="270" t="n">
        <v>8</v>
      </c>
      <c r="B12" s="1" t="inlineStr">
        <is>
          <t>PCI_FT-(0-90 kpa)</t>
        </is>
      </c>
      <c r="C12" s="275" t="n">
        <v>4</v>
      </c>
      <c r="D12" s="118" t="n">
        <v>1</v>
      </c>
      <c r="E12" s="119" t="inlineStr">
        <is>
          <t>FT-503</t>
        </is>
      </c>
      <c r="F12" s="114" t="inlineStr">
        <is>
          <t>Model NO:-JSYH-BK-32+3051DP
Range: 500Nm³N/h. Output signal: 4-20mADC, with digital display, HART digital communication. See Throttle Device Consultation for others, matched with stainless steel tri-valve set</t>
        </is>
      </c>
      <c r="G12" s="120" t="inlineStr">
        <is>
          <t>Conveying media Flow for injection vessel-A</t>
        </is>
      </c>
      <c r="H12" s="275" t="n">
        <v>0</v>
      </c>
      <c r="I12" s="109" t="n">
        <v>0</v>
      </c>
      <c r="J12" s="120" t="n"/>
      <c r="K12" s="114" t="n"/>
      <c r="L12" s="114" t="n"/>
      <c r="M12" s="114" t="n"/>
      <c r="N12" s="114" t="n"/>
      <c r="O12" s="208">
        <f>SUM(D12-H12)</f>
        <v/>
      </c>
    </row>
    <row r="13" ht="93.75" customHeight="1" s="126">
      <c r="A13" s="283" t="n"/>
      <c r="B13" s="283" t="n"/>
      <c r="C13" s="283" t="n"/>
      <c r="D13" s="283" t="n"/>
      <c r="E13" s="119" t="inlineStr">
        <is>
          <t>FT-506</t>
        </is>
      </c>
      <c r="F13" s="114" t="inlineStr">
        <is>
          <t>Model No:- JSYH-BK-32+3051DP
Range: 500Nm³N/h. Output signal: 4-20mADC, with digital display, HART digital communication. See Throttle Device Consultation for others, matched with stainless steel tri-valve set</t>
        </is>
      </c>
      <c r="G13" s="120" t="inlineStr">
        <is>
          <t>Conveying media Flow for injection vessel-B</t>
        </is>
      </c>
      <c r="H13" s="275" t="n">
        <v>0</v>
      </c>
      <c r="I13" s="109" t="n">
        <v>0</v>
      </c>
      <c r="J13" s="120" t="n"/>
      <c r="K13" s="114" t="n"/>
      <c r="L13" s="114" t="n"/>
      <c r="M13" s="114" t="n"/>
      <c r="N13" s="114" t="n"/>
      <c r="O13" s="208">
        <f>SUM(D13-H13)</f>
        <v/>
      </c>
    </row>
    <row r="14" ht="93.75" customHeight="1" s="126">
      <c r="A14" s="283" t="n"/>
      <c r="B14" s="283" t="n"/>
      <c r="C14" s="283" t="n"/>
      <c r="D14" s="283" t="n"/>
      <c r="E14" s="119" t="inlineStr">
        <is>
          <t>FT-509</t>
        </is>
      </c>
      <c r="F14" s="114" t="inlineStr">
        <is>
          <t>Model No:- JSYH-BK-32+3051DP
Range: 500Nm³N/h. Output signal: 4-20mADC, with digital display, HART digital communication. See Throttle Device Consultation for others, matched with stainless steel tri-valve set</t>
        </is>
      </c>
      <c r="G14" s="120" t="inlineStr">
        <is>
          <t>Conveying media Flow for injection vessel-C</t>
        </is>
      </c>
      <c r="H14" s="275" t="n">
        <v>0</v>
      </c>
      <c r="I14" s="109" t="n">
        <v>0</v>
      </c>
      <c r="J14" s="120" t="n"/>
      <c r="K14" s="114" t="n"/>
      <c r="L14" s="114" t="n"/>
      <c r="M14" s="114" t="n"/>
      <c r="N14" s="114" t="n"/>
      <c r="O14" s="208">
        <f>SUM(D14-H14)</f>
        <v/>
      </c>
    </row>
    <row r="15" ht="93.75" customHeight="1" s="126">
      <c r="A15" s="281" t="n"/>
      <c r="B15" s="281" t="n"/>
      <c r="C15" s="281" t="n"/>
      <c r="D15" s="281" t="n"/>
      <c r="E15" s="119" t="inlineStr">
        <is>
          <t>FT-512</t>
        </is>
      </c>
      <c r="F15" s="114" t="inlineStr">
        <is>
          <t>Model No:- JSYH-BK-32+3051DP
Range: 500Nm³N/h. Output signal: 4-20mADC, with digital display, HART digital communication. See Throttle Device Consultation for others, matched with stainless steel tri-valve set</t>
        </is>
      </c>
      <c r="G15" s="120" t="inlineStr">
        <is>
          <t>Conveying media Flow for injection vessel-D</t>
        </is>
      </c>
      <c r="H15" s="275" t="n">
        <v>0</v>
      </c>
      <c r="I15" s="109" t="n">
        <v>0</v>
      </c>
      <c r="J15" s="120" t="n"/>
      <c r="K15" s="114" t="n"/>
      <c r="L15" s="114" t="n"/>
      <c r="M15" s="114" t="n"/>
      <c r="N15" s="114" t="n"/>
      <c r="O15" s="208">
        <f>SUM(D15-H15)</f>
        <v/>
      </c>
    </row>
    <row r="16" ht="93.75" customHeight="1" s="126">
      <c r="A16" s="270" t="n">
        <v>9</v>
      </c>
      <c r="B16" s="1" t="inlineStr">
        <is>
          <t>PCI_FT (0-20 kpa)</t>
        </is>
      </c>
      <c r="C16" s="275" t="n">
        <v>4</v>
      </c>
      <c r="D16" s="118" t="n">
        <v>1</v>
      </c>
      <c r="E16" s="119" t="inlineStr">
        <is>
          <t>FT-501</t>
        </is>
      </c>
      <c r="F16" s="114" t="inlineStr">
        <is>
          <t>Model No:-JSYH-BK-48+3051DP
Range: 500Nm³N/h. Output signal: 4-20mADC, with digital display, HART digital communication. See Throttle Device Consultation for others, matched with stainless steel tri-valve set</t>
        </is>
      </c>
      <c r="G16" s="120" t="inlineStr">
        <is>
          <t>N2 Flow for injection vessel-A pressurisation</t>
        </is>
      </c>
      <c r="H16" s="275" t="n">
        <v>0</v>
      </c>
      <c r="I16" s="109" t="n">
        <v>0</v>
      </c>
      <c r="J16" s="120" t="n"/>
      <c r="K16" s="114" t="n"/>
      <c r="L16" s="114" t="n"/>
      <c r="M16" s="114" t="n"/>
      <c r="N16" s="114" t="n"/>
      <c r="O16" s="208">
        <f>SUM(D16-H16)</f>
        <v/>
      </c>
    </row>
    <row r="17" ht="93.75" customHeight="1" s="126">
      <c r="A17" s="283" t="n"/>
      <c r="B17" s="283" t="n"/>
      <c r="C17" s="283" t="n"/>
      <c r="D17" s="283" t="n"/>
      <c r="E17" s="119" t="inlineStr">
        <is>
          <t>FT-504</t>
        </is>
      </c>
      <c r="F17" s="114" t="inlineStr">
        <is>
          <t>Model No:- JSYH-BK-48+3051DP
Range: 500Nm³N/h. Output signal: 4-20mADC, with digital display, HART digital communication. See Throttle Device Consultation for others, matched with stainless steel tri-valve set</t>
        </is>
      </c>
      <c r="G17" s="120" t="inlineStr">
        <is>
          <t>N2 Flow for injection vessel-B pressurisation</t>
        </is>
      </c>
      <c r="H17" s="275" t="n">
        <v>0</v>
      </c>
      <c r="I17" s="109" t="n">
        <v>0</v>
      </c>
      <c r="J17" s="120" t="n"/>
      <c r="K17" s="114" t="n"/>
      <c r="L17" s="114" t="n"/>
      <c r="M17" s="114" t="n"/>
      <c r="N17" s="114" t="n"/>
      <c r="O17" s="208">
        <f>SUM(D17-H17)</f>
        <v/>
      </c>
    </row>
    <row r="18" ht="93.75" customHeight="1" s="126">
      <c r="A18" s="283" t="n"/>
      <c r="B18" s="283" t="n"/>
      <c r="C18" s="283" t="n"/>
      <c r="D18" s="283" t="n"/>
      <c r="E18" s="119" t="inlineStr">
        <is>
          <t>FT-507</t>
        </is>
      </c>
      <c r="F18" s="114" t="inlineStr">
        <is>
          <t>Model No:- JSYH-BK-48+3051DP
Range: 500Nm³N/h. Output signal: 4-20mADC, with digital display, HART digital communication. See Throttle Device Consultation for others, matched with stainless steel tri-valve set</t>
        </is>
      </c>
      <c r="G18" s="120" t="inlineStr">
        <is>
          <t>N2 Flow for injection vessel-C pressurisation</t>
        </is>
      </c>
      <c r="H18" s="275" t="n">
        <v>0</v>
      </c>
      <c r="I18" s="109" t="n">
        <v>0</v>
      </c>
      <c r="J18" s="120" t="n"/>
      <c r="K18" s="114" t="n"/>
      <c r="L18" s="114" t="n"/>
      <c r="M18" s="114" t="n"/>
      <c r="N18" s="114" t="n"/>
      <c r="O18" s="208">
        <f>SUM(D18-H18)</f>
        <v/>
      </c>
    </row>
    <row r="19" ht="93.75" customHeight="1" s="126">
      <c r="A19" s="281" t="n"/>
      <c r="B19" s="281" t="n"/>
      <c r="C19" s="281" t="n"/>
      <c r="D19" s="281" t="n"/>
      <c r="E19" s="119" t="inlineStr">
        <is>
          <t>FT-510</t>
        </is>
      </c>
      <c r="F19" s="114" t="inlineStr">
        <is>
          <t>Model No:- JSYH-BK-48+3051DP
Range: 500Nm³N/h. Output signal: 4-20mADC, with digital display, HART digital communication. See Throttle Device Consultation for others, matched with stainless steel tri-valve set</t>
        </is>
      </c>
      <c r="G19" s="120" t="inlineStr">
        <is>
          <t>N2 Flow for injection vessel-D pressurisation</t>
        </is>
      </c>
      <c r="H19" s="275" t="n">
        <v>0</v>
      </c>
      <c r="I19" s="109" t="n">
        <v>0</v>
      </c>
      <c r="J19" s="120" t="n"/>
      <c r="K19" s="114" t="n"/>
      <c r="L19" s="114" t="n"/>
      <c r="M19" s="114" t="n"/>
      <c r="N19" s="114" t="n"/>
      <c r="O19" s="208">
        <f>SUM(D19-H19)</f>
        <v/>
      </c>
    </row>
    <row r="20" ht="93.75" customHeight="1" s="126">
      <c r="A20" s="225" t="n">
        <v>10</v>
      </c>
      <c r="B20" s="1" t="inlineStr">
        <is>
          <t>PCI_FT- (0-100 kpa)</t>
        </is>
      </c>
      <c r="C20" s="275" t="n">
        <v>1</v>
      </c>
      <c r="D20" s="118" t="n">
        <v>1</v>
      </c>
      <c r="E20" s="119" t="inlineStr">
        <is>
          <t>FT-601</t>
        </is>
      </c>
      <c r="F20" s="114" t="inlineStr">
        <is>
          <t>Model No:- JSYH-BK-76+3051DP
Range: 40m3/h. Output signal: 4-20mADC, with digital display, HART digital communication. See Throttle Device Consultation for others, matched with stainless steel tri-valve set</t>
        </is>
      </c>
      <c r="G20" s="120" t="inlineStr">
        <is>
          <t>Cooling  pump discharge water flow at return line</t>
        </is>
      </c>
      <c r="H20" s="275" t="n">
        <v>0</v>
      </c>
      <c r="I20" s="109" t="n">
        <v>0</v>
      </c>
      <c r="J20" s="120" t="n"/>
      <c r="K20" s="114" t="n"/>
      <c r="L20" s="114" t="n"/>
      <c r="M20" s="114" t="n"/>
      <c r="N20" s="114" t="n"/>
      <c r="O20" s="208">
        <f>SUM(D20-H20)</f>
        <v/>
      </c>
    </row>
    <row r="21">
      <c r="C21" s="270" t="n"/>
      <c r="D21" s="270" t="n"/>
      <c r="E21" s="223" t="n"/>
      <c r="F21" s="223" t="n"/>
      <c r="G21" s="223" t="n"/>
      <c r="H21" s="270" t="n"/>
      <c r="I21" s="6" t="n"/>
      <c r="J21" s="223" t="n"/>
      <c r="K21" s="223" t="n"/>
      <c r="L21" s="223" t="n"/>
      <c r="M21" s="223" t="n"/>
      <c r="N21" s="223" t="n"/>
      <c r="O21" s="208">
        <f>SUM(O2:O20)</f>
        <v/>
      </c>
      <c r="P21" s="223" t="inlineStr">
        <is>
          <t>TOTAL</t>
        </is>
      </c>
    </row>
  </sheetData>
  <mergeCells count="12">
    <mergeCell ref="D8:D11"/>
    <mergeCell ref="A8:A11"/>
    <mergeCell ref="B8:B11"/>
    <mergeCell ref="C8:C11"/>
    <mergeCell ref="D12:D15"/>
    <mergeCell ref="A12:A15"/>
    <mergeCell ref="B12:B15"/>
    <mergeCell ref="C16:C19"/>
    <mergeCell ref="C12:C15"/>
    <mergeCell ref="D16:D19"/>
    <mergeCell ref="B16:B19"/>
    <mergeCell ref="A16:A19"/>
  </mergeCells>
  <pageMargins left="0.7" right="0.7" top="0.75" bottom="0.75" header="0.32" footer="0.3"/>
  <pageSetup orientation="portrait" paperSize="9" scale="4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workbookViewId="0">
      <selection activeCell="N1" sqref="N1"/>
    </sheetView>
  </sheetViews>
  <sheetFormatPr baseColWidth="8" defaultRowHeight="18.75"/>
  <cols>
    <col width="5.5703125" customWidth="1" style="194" min="1" max="1"/>
    <col width="18.85546875" customWidth="1" style="194" min="2" max="2"/>
    <col width="13.85546875" customWidth="1" style="194" min="3" max="5"/>
    <col width="25.7109375" customWidth="1" style="194" min="6" max="6"/>
    <col width="9.140625" customWidth="1" style="194" min="7" max="7"/>
    <col width="6.140625" customWidth="1" style="194" min="8" max="8"/>
    <col width="7" customWidth="1" style="194" min="9" max="9"/>
    <col width="7.140625" customWidth="1" style="194" min="10" max="10"/>
    <col width="7.7109375" customWidth="1" style="194" min="11" max="11"/>
    <col width="6.85546875" customWidth="1" style="194" min="12" max="12"/>
    <col width="7.42578125" customWidth="1" style="194" min="13" max="13"/>
    <col width="19" customWidth="1" style="126" min="14" max="14"/>
  </cols>
  <sheetData>
    <row r="1" ht="24.75" customHeight="1" s="126" thickBot="1">
      <c r="A1" s="127" t="inlineStr">
        <is>
          <t>S NO</t>
        </is>
      </c>
      <c r="B1" s="128" t="inlineStr">
        <is>
          <t>Short Description</t>
        </is>
      </c>
      <c r="C1" s="128" t="inlineStr">
        <is>
          <t>TAG NO</t>
        </is>
      </c>
      <c r="D1" s="129" t="inlineStr">
        <is>
          <t xml:space="preserve"> Qty Instld</t>
        </is>
      </c>
      <c r="E1" s="129" t="inlineStr">
        <is>
          <t>Qty Req</t>
        </is>
      </c>
      <c r="F1" s="130" t="inlineStr">
        <is>
          <t>Specification</t>
        </is>
      </c>
      <c r="G1" s="106" t="inlineStr">
        <is>
          <t>Qty avbl</t>
        </is>
      </c>
      <c r="H1" s="107" t="inlineStr">
        <is>
          <t>JUL</t>
        </is>
      </c>
      <c r="I1" s="107" t="inlineStr">
        <is>
          <t>AUG</t>
        </is>
      </c>
      <c r="J1" s="107" t="inlineStr">
        <is>
          <t>SEP</t>
        </is>
      </c>
      <c r="K1" s="107" t="inlineStr">
        <is>
          <t>OCT</t>
        </is>
      </c>
      <c r="L1" s="107" t="inlineStr">
        <is>
          <t>NOV</t>
        </is>
      </c>
      <c r="M1" s="107" t="inlineStr">
        <is>
          <t>DEC</t>
        </is>
      </c>
      <c r="N1" s="211" t="inlineStr">
        <is>
          <t>Spare to be indent</t>
        </is>
      </c>
    </row>
    <row r="2" ht="147.75" customHeight="1" s="126">
      <c r="A2" s="131" t="n">
        <v>1</v>
      </c>
      <c r="B2" s="132" t="inlineStr">
        <is>
          <t>PCI_MCV DN300</t>
        </is>
      </c>
      <c r="C2" s="133" t="inlineStr">
        <is>
          <t>MCV-202</t>
        </is>
      </c>
      <c r="D2" s="134" t="n">
        <v>1</v>
      </c>
      <c r="E2" s="135" t="n">
        <v>1</v>
      </c>
      <c r="F2" s="134" t="inlineStr">
        <is>
          <t>Pg2.5kg/cm2;medium: normal air; control: 4～20mA,415VAC, explosion-proof
Dia- DN300
Model-DN941-2.5C
Make:- Gongkai</t>
        </is>
      </c>
      <c r="G2" s="263" t="n">
        <v>0</v>
      </c>
      <c r="H2" s="263" t="n">
        <v>0</v>
      </c>
      <c r="I2" s="193" t="n"/>
      <c r="J2" s="193" t="n"/>
      <c r="K2" s="193" t="n"/>
      <c r="L2" s="193" t="n"/>
      <c r="M2" s="193" t="n"/>
      <c r="N2" s="208">
        <f>SUM(E2-G2)</f>
        <v/>
      </c>
    </row>
    <row r="3" ht="148.5" customHeight="1" s="126">
      <c r="A3" s="136" t="n">
        <v>2</v>
      </c>
      <c r="B3" s="132" t="inlineStr">
        <is>
          <t>PCI_MCV DN400</t>
        </is>
      </c>
      <c r="C3" s="137" t="inlineStr">
        <is>
          <t>MCV-205</t>
        </is>
      </c>
      <c r="D3" s="138" t="n">
        <v>1</v>
      </c>
      <c r="E3" s="139" t="n">
        <v>1</v>
      </c>
      <c r="F3" s="138" t="inlineStr">
        <is>
          <t>Pg2.5kg/cm2; medium: hot gas, T≤200℃,control:4～20mA,415VAC, explosion-proof
Dia- DN400
Model-DN941-2.5C
Make:- Gongkai</t>
        </is>
      </c>
      <c r="G3" s="263" t="n">
        <v>9</v>
      </c>
      <c r="H3" s="263" t="n">
        <v>1</v>
      </c>
      <c r="I3" s="193" t="n"/>
      <c r="J3" s="193" t="n"/>
      <c r="K3" s="193" t="n"/>
      <c r="L3" s="193" t="n"/>
      <c r="M3" s="193" t="n"/>
      <c r="N3" s="208">
        <f>SUM(E3-G3)</f>
        <v/>
      </c>
    </row>
    <row r="4" ht="166.5" customHeight="1" s="126">
      <c r="A4" s="136" t="n">
        <v>3</v>
      </c>
      <c r="B4" s="132" t="inlineStr">
        <is>
          <t>PCI_MCV DN600</t>
        </is>
      </c>
      <c r="C4" s="137" t="inlineStr">
        <is>
          <t>MCV-203</t>
        </is>
      </c>
      <c r="D4" s="138" t="n">
        <v>1</v>
      </c>
      <c r="E4" s="139" t="n">
        <v>1</v>
      </c>
      <c r="F4" s="138" t="inlineStr">
        <is>
          <t>Pg2.5kg/cm2;medium: hot gas,T=400℃，
control: 4～20mA , 415VAC,explosion-proof
Dia- DN600
Model-DN941-2.5C
Make:- Gongkai</t>
        </is>
      </c>
      <c r="G4" s="263" t="n">
        <v>1</v>
      </c>
      <c r="H4" s="263" t="n">
        <v>1</v>
      </c>
      <c r="I4" s="193" t="n"/>
      <c r="J4" s="193" t="n"/>
      <c r="K4" s="193" t="n"/>
      <c r="L4" s="193" t="n"/>
      <c r="M4" s="193" t="n"/>
      <c r="N4" s="208">
        <f>SUM(E4-G4)</f>
        <v/>
      </c>
    </row>
    <row r="5" ht="166.5" customHeight="1" s="126">
      <c r="A5" s="136" t="n">
        <v>4</v>
      </c>
      <c r="B5" s="132" t="inlineStr">
        <is>
          <t>PCI_MCV DN800</t>
        </is>
      </c>
      <c r="C5" s="137" t="inlineStr">
        <is>
          <t>MCV-206</t>
        </is>
      </c>
      <c r="D5" s="140" t="n">
        <v>1</v>
      </c>
      <c r="E5" s="141" t="n">
        <v>1</v>
      </c>
      <c r="F5" s="138" t="inlineStr">
        <is>
          <t>Pg2.5kg/cm2; medium: Hot gas,T≤100℃, control: 4～20mA,415VAC,explosion-proof
Dia- DN800
Model-DN941-2.5C
Make:- Gongkai</t>
        </is>
      </c>
      <c r="G5" s="263" t="n">
        <v>0</v>
      </c>
      <c r="H5" s="263" t="n">
        <v>0</v>
      </c>
      <c r="I5" s="193" t="n"/>
      <c r="J5" s="193" t="n"/>
      <c r="K5" s="193" t="n"/>
      <c r="L5" s="193" t="n"/>
      <c r="M5" s="193" t="n"/>
      <c r="N5" s="208">
        <f>SUM(E5-G5)</f>
        <v/>
      </c>
    </row>
    <row r="6" ht="166.5" customHeight="1" s="126">
      <c r="A6" s="136" t="n">
        <v>5</v>
      </c>
      <c r="B6" s="132" t="inlineStr">
        <is>
          <t>PCI_MCV DN300</t>
        </is>
      </c>
      <c r="C6" s="137" t="inlineStr">
        <is>
          <t>MCV-301</t>
        </is>
      </c>
      <c r="D6" s="140" t="n">
        <v>1</v>
      </c>
      <c r="E6" s="141" t="n">
        <v>1</v>
      </c>
      <c r="F6" s="138" t="inlineStr">
        <is>
          <t>Pg2.5kg/cm2; medium:hot gas,t＜100℃, control: 4～20mA, 415VAC, explosion-proof
Dia- DN900
Model-DN941-2.5C
Make:- Gongkai</t>
        </is>
      </c>
      <c r="G6" s="263" t="n">
        <v>0</v>
      </c>
      <c r="H6" s="263" t="n">
        <v>0</v>
      </c>
      <c r="I6" s="193" t="n"/>
      <c r="J6" s="193" t="n"/>
      <c r="K6" s="193" t="n"/>
      <c r="L6" s="193" t="n"/>
      <c r="M6" s="193" t="n"/>
      <c r="N6" s="208">
        <f>SUM(E6-G6)</f>
        <v/>
      </c>
    </row>
    <row r="7" ht="166.5" customHeight="1" s="126">
      <c r="A7" s="136" t="n">
        <v>6</v>
      </c>
      <c r="B7" s="132" t="inlineStr">
        <is>
          <t>PCI_MCV DN1000</t>
        </is>
      </c>
      <c r="C7" s="137" t="inlineStr">
        <is>
          <t>MCV-204</t>
        </is>
      </c>
      <c r="D7" s="138" t="n">
        <v>1</v>
      </c>
      <c r="E7" s="139" t="n">
        <v>1</v>
      </c>
      <c r="F7" s="138" t="inlineStr">
        <is>
          <t>Pg2.5kg/cm2; medium: hot gas, T=400℃, control: 4～20mA, 415VAC, explosion-proof
Dia- DN 1000
Model-DN941-2.5C
Make:- Gongkai</t>
        </is>
      </c>
      <c r="G7" s="263" t="n">
        <v>0</v>
      </c>
      <c r="H7" s="263" t="n">
        <v>0</v>
      </c>
      <c r="I7" s="193" t="n"/>
      <c r="J7" s="193" t="n"/>
      <c r="K7" s="193" t="n"/>
      <c r="L7" s="193" t="n"/>
      <c r="M7" s="193" t="n"/>
      <c r="N7" s="208">
        <f>SUM(E7-G7)</f>
        <v/>
      </c>
    </row>
    <row r="8" ht="166.5" customHeight="1" s="126">
      <c r="A8" s="136" t="n">
        <v>7</v>
      </c>
      <c r="B8" s="132" t="inlineStr">
        <is>
          <t>PCI_MCV DN350</t>
        </is>
      </c>
      <c r="C8" s="137" t="inlineStr">
        <is>
          <t>MCV-201</t>
        </is>
      </c>
      <c r="D8" s="138" t="n">
        <v>1</v>
      </c>
      <c r="E8" s="139" t="n">
        <v>1</v>
      </c>
      <c r="F8" s="138" t="inlineStr">
        <is>
          <t>,Pg2.5kg/cm2; medium: coal gas,T＜100℃,control:4～20mA, 415VAC, explosion-proof
Dia- DN350
Model-DN943-2.5C
Make:- Gongkai</t>
        </is>
      </c>
      <c r="G8" s="263" t="n">
        <v>0</v>
      </c>
      <c r="H8" s="263" t="n">
        <v>0</v>
      </c>
      <c r="I8" s="193" t="n"/>
      <c r="J8" s="193" t="n"/>
      <c r="K8" s="193" t="n"/>
      <c r="L8" s="193" t="n"/>
      <c r="M8" s="193" t="n"/>
      <c r="N8" s="208">
        <f>SUM(E8-G8)</f>
        <v/>
      </c>
    </row>
    <row r="9" ht="220.5" customHeight="1" s="126">
      <c r="A9" s="142" t="n">
        <v>8</v>
      </c>
      <c r="B9" s="213" t="inlineStr">
        <is>
          <t>PCI_MCV DY1000</t>
        </is>
      </c>
      <c r="C9" s="214" t="inlineStr">
        <is>
          <t>MCV-302</t>
        </is>
      </c>
      <c r="D9" s="215" t="n">
        <v>1</v>
      </c>
      <c r="E9" s="216" t="n">
        <v>1</v>
      </c>
      <c r="F9" s="215" t="inlineStr">
        <is>
          <t>,Pg2.5kg/cm2; medium: coal gas,T＜100℃,control:4～20mA, 415VAC, explosion-proof
MODEL:-DY1000 MAKE -RIZHAO DEYI INTELLIGENT INSTRUMENT.CO.LTD</t>
        </is>
      </c>
      <c r="G9" s="260" t="n">
        <v>0</v>
      </c>
      <c r="H9" s="260" t="n">
        <v>0</v>
      </c>
      <c r="I9" s="217" t="n"/>
      <c r="J9" s="217" t="n"/>
      <c r="K9" s="217" t="n"/>
      <c r="L9" s="217" t="n"/>
      <c r="M9" s="217" t="n"/>
      <c r="N9" s="209">
        <f>SUM(E9-G9)</f>
        <v/>
      </c>
    </row>
    <row r="10">
      <c r="A10" s="193" t="n"/>
      <c r="B10" s="193" t="n"/>
      <c r="C10" s="193" t="n"/>
      <c r="D10" s="193">
        <f>SUM(D2:D9)</f>
        <v/>
      </c>
      <c r="E10" s="193" t="n"/>
      <c r="F10" s="193" t="n"/>
      <c r="G10" s="193" t="n"/>
      <c r="H10" s="193" t="n"/>
      <c r="I10" s="193" t="n"/>
      <c r="J10" s="193" t="n"/>
      <c r="K10" s="193" t="n"/>
      <c r="L10" s="193" t="n"/>
      <c r="M10" s="193" t="n"/>
      <c r="N10" s="208">
        <f>SUM(N2:N9)</f>
        <v/>
      </c>
    </row>
  </sheetData>
  <pageMargins left="0.7" right="0.34" top="0.91" bottom="0.76" header="0.32" footer="0.3"/>
  <pageSetup orientation="portrait" scale="4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topLeftCell="D1" workbookViewId="0">
      <selection activeCell="O1" sqref="O1"/>
    </sheetView>
  </sheetViews>
  <sheetFormatPr baseColWidth="8" defaultRowHeight="15"/>
  <cols>
    <col width="6.140625" bestFit="1" customWidth="1" style="38" min="1" max="1"/>
    <col width="21.28515625" customWidth="1" style="38" min="2" max="2"/>
    <col width="26.140625" bestFit="1" customWidth="1" style="160" min="3" max="3"/>
    <col width="7.42578125" customWidth="1" style="160" min="4" max="4"/>
    <col width="8" bestFit="1" customWidth="1" style="160" min="5" max="5"/>
    <col width="21.5703125" bestFit="1" customWidth="1" style="160" min="6" max="6"/>
    <col width="57.42578125" customWidth="1" style="161" min="7" max="7"/>
    <col width="9.140625" customWidth="1" style="162" min="8" max="8"/>
    <col width="7.5703125" customWidth="1" style="126" min="9" max="9"/>
    <col width="7.28515625" customWidth="1" style="160" min="10" max="11"/>
    <col width="6.5703125" customWidth="1" style="160" min="12" max="12"/>
    <col width="7.28515625" customWidth="1" style="160" min="13" max="13"/>
    <col width="8.140625" customWidth="1" style="160" min="14" max="14"/>
    <col width="20.85546875" customWidth="1" style="38" min="15" max="15"/>
    <col width="9.140625" customWidth="1" style="38" min="16" max="250"/>
    <col width="9.140625" customWidth="1" style="31" min="251" max="254"/>
    <col width="8.85546875" customWidth="1" style="31" min="255" max="255"/>
    <col width="26.42578125" customWidth="1" style="31" min="256" max="257"/>
    <col width="21.85546875" customWidth="1" style="31" min="258" max="258"/>
    <col width="13.42578125" customWidth="1" style="31" min="259" max="259"/>
    <col width="14.28515625" customWidth="1" style="31" min="260" max="260"/>
    <col width="11.85546875" customWidth="1" style="31" min="261" max="261"/>
    <col width="33.42578125" customWidth="1" style="31" min="262" max="262"/>
    <col width="7.7109375" customWidth="1" style="31" min="263" max="263"/>
    <col width="36.7109375" customWidth="1" style="31" min="264" max="264"/>
    <col width="33.42578125" customWidth="1" style="31" min="265" max="265"/>
    <col width="9.140625" customWidth="1" style="31" min="266" max="510"/>
    <col width="8.85546875" customWidth="1" style="31" min="511" max="511"/>
    <col width="26.42578125" customWidth="1" style="31" min="512" max="513"/>
    <col width="21.85546875" customWidth="1" style="31" min="514" max="514"/>
    <col width="13.42578125" customWidth="1" style="31" min="515" max="515"/>
    <col width="14.28515625" customWidth="1" style="31" min="516" max="516"/>
    <col width="11.85546875" customWidth="1" style="31" min="517" max="517"/>
    <col width="33.42578125" customWidth="1" style="31" min="518" max="518"/>
    <col width="7.7109375" customWidth="1" style="31" min="519" max="519"/>
    <col width="36.7109375" customWidth="1" style="31" min="520" max="520"/>
    <col width="33.42578125" customWidth="1" style="31" min="521" max="521"/>
    <col width="9.140625" customWidth="1" style="31" min="522" max="766"/>
    <col width="8.85546875" customWidth="1" style="31" min="767" max="767"/>
    <col width="26.42578125" customWidth="1" style="31" min="768" max="769"/>
    <col width="21.85546875" customWidth="1" style="31" min="770" max="770"/>
    <col width="13.42578125" customWidth="1" style="31" min="771" max="771"/>
    <col width="14.28515625" customWidth="1" style="31" min="772" max="772"/>
    <col width="11.85546875" customWidth="1" style="31" min="773" max="773"/>
    <col width="33.42578125" customWidth="1" style="31" min="774" max="774"/>
    <col width="7.7109375" customWidth="1" style="31" min="775" max="775"/>
    <col width="36.7109375" customWidth="1" style="31" min="776" max="776"/>
    <col width="33.42578125" customWidth="1" style="31" min="777" max="777"/>
    <col width="9.140625" customWidth="1" style="31" min="778" max="1022"/>
    <col width="8.85546875" customWidth="1" style="31" min="1023" max="1023"/>
    <col width="26.42578125" customWidth="1" style="31" min="1024" max="1025"/>
    <col width="21.85546875" customWidth="1" style="31" min="1026" max="1026"/>
    <col width="13.42578125" customWidth="1" style="31" min="1027" max="1027"/>
    <col width="14.28515625" customWidth="1" style="31" min="1028" max="1028"/>
    <col width="11.85546875" customWidth="1" style="31" min="1029" max="1029"/>
    <col width="33.42578125" customWidth="1" style="31" min="1030" max="1030"/>
    <col width="7.7109375" customWidth="1" style="31" min="1031" max="1031"/>
    <col width="36.7109375" customWidth="1" style="31" min="1032" max="1032"/>
    <col width="33.42578125" customWidth="1" style="31" min="1033" max="1033"/>
    <col width="9.140625" customWidth="1" style="31" min="1034" max="1278"/>
    <col width="8.85546875" customWidth="1" style="31" min="1279" max="1279"/>
    <col width="26.42578125" customWidth="1" style="31" min="1280" max="1281"/>
    <col width="21.85546875" customWidth="1" style="31" min="1282" max="1282"/>
    <col width="13.42578125" customWidth="1" style="31" min="1283" max="1283"/>
    <col width="14.28515625" customWidth="1" style="31" min="1284" max="1284"/>
    <col width="11.85546875" customWidth="1" style="31" min="1285" max="1285"/>
    <col width="33.42578125" customWidth="1" style="31" min="1286" max="1286"/>
    <col width="7.7109375" customWidth="1" style="31" min="1287" max="1287"/>
    <col width="36.7109375" customWidth="1" style="31" min="1288" max="1288"/>
    <col width="33.42578125" customWidth="1" style="31" min="1289" max="1289"/>
    <col width="9.140625" customWidth="1" style="31" min="1290" max="1534"/>
    <col width="8.85546875" customWidth="1" style="31" min="1535" max="1535"/>
    <col width="26.42578125" customWidth="1" style="31" min="1536" max="1537"/>
    <col width="21.85546875" customWidth="1" style="31" min="1538" max="1538"/>
    <col width="13.42578125" customWidth="1" style="31" min="1539" max="1539"/>
    <col width="14.28515625" customWidth="1" style="31" min="1540" max="1540"/>
    <col width="11.85546875" customWidth="1" style="31" min="1541" max="1541"/>
    <col width="33.42578125" customWidth="1" style="31" min="1542" max="1542"/>
    <col width="7.7109375" customWidth="1" style="31" min="1543" max="1543"/>
    <col width="36.7109375" customWidth="1" style="31" min="1544" max="1544"/>
    <col width="33.42578125" customWidth="1" style="31" min="1545" max="1545"/>
    <col width="9.140625" customWidth="1" style="31" min="1546" max="1790"/>
    <col width="8.85546875" customWidth="1" style="31" min="1791" max="1791"/>
    <col width="26.42578125" customWidth="1" style="31" min="1792" max="1793"/>
    <col width="21.85546875" customWidth="1" style="31" min="1794" max="1794"/>
    <col width="13.42578125" customWidth="1" style="31" min="1795" max="1795"/>
    <col width="14.28515625" customWidth="1" style="31" min="1796" max="1796"/>
    <col width="11.85546875" customWidth="1" style="31" min="1797" max="1797"/>
    <col width="33.42578125" customWidth="1" style="31" min="1798" max="1798"/>
    <col width="7.7109375" customWidth="1" style="31" min="1799" max="1799"/>
    <col width="36.7109375" customWidth="1" style="31" min="1800" max="1800"/>
    <col width="33.42578125" customWidth="1" style="31" min="1801" max="1801"/>
    <col width="9.140625" customWidth="1" style="31" min="1802" max="2046"/>
    <col width="8.85546875" customWidth="1" style="31" min="2047" max="2047"/>
    <col width="26.42578125" customWidth="1" style="31" min="2048" max="2049"/>
    <col width="21.85546875" customWidth="1" style="31" min="2050" max="2050"/>
    <col width="13.42578125" customWidth="1" style="31" min="2051" max="2051"/>
    <col width="14.28515625" customWidth="1" style="31" min="2052" max="2052"/>
    <col width="11.85546875" customWidth="1" style="31" min="2053" max="2053"/>
    <col width="33.42578125" customWidth="1" style="31" min="2054" max="2054"/>
    <col width="7.7109375" customWidth="1" style="31" min="2055" max="2055"/>
    <col width="36.7109375" customWidth="1" style="31" min="2056" max="2056"/>
    <col width="33.42578125" customWidth="1" style="31" min="2057" max="2057"/>
    <col width="9.140625" customWidth="1" style="31" min="2058" max="2302"/>
    <col width="8.85546875" customWidth="1" style="31" min="2303" max="2303"/>
    <col width="26.42578125" customWidth="1" style="31" min="2304" max="2305"/>
    <col width="21.85546875" customWidth="1" style="31" min="2306" max="2306"/>
    <col width="13.42578125" customWidth="1" style="31" min="2307" max="2307"/>
    <col width="14.28515625" customWidth="1" style="31" min="2308" max="2308"/>
    <col width="11.85546875" customWidth="1" style="31" min="2309" max="2309"/>
    <col width="33.42578125" customWidth="1" style="31" min="2310" max="2310"/>
    <col width="7.7109375" customWidth="1" style="31" min="2311" max="2311"/>
    <col width="36.7109375" customWidth="1" style="31" min="2312" max="2312"/>
    <col width="33.42578125" customWidth="1" style="31" min="2313" max="2313"/>
    <col width="9.140625" customWidth="1" style="31" min="2314" max="2558"/>
    <col width="8.85546875" customWidth="1" style="31" min="2559" max="2559"/>
    <col width="26.42578125" customWidth="1" style="31" min="2560" max="2561"/>
    <col width="21.85546875" customWidth="1" style="31" min="2562" max="2562"/>
    <col width="13.42578125" customWidth="1" style="31" min="2563" max="2563"/>
    <col width="14.28515625" customWidth="1" style="31" min="2564" max="2564"/>
    <col width="11.85546875" customWidth="1" style="31" min="2565" max="2565"/>
    <col width="33.42578125" customWidth="1" style="31" min="2566" max="2566"/>
    <col width="7.7109375" customWidth="1" style="31" min="2567" max="2567"/>
    <col width="36.7109375" customWidth="1" style="31" min="2568" max="2568"/>
    <col width="33.42578125" customWidth="1" style="31" min="2569" max="2569"/>
    <col width="9.140625" customWidth="1" style="31" min="2570" max="2814"/>
    <col width="8.85546875" customWidth="1" style="31" min="2815" max="2815"/>
    <col width="26.42578125" customWidth="1" style="31" min="2816" max="2817"/>
    <col width="21.85546875" customWidth="1" style="31" min="2818" max="2818"/>
    <col width="13.42578125" customWidth="1" style="31" min="2819" max="2819"/>
    <col width="14.28515625" customWidth="1" style="31" min="2820" max="2820"/>
    <col width="11.85546875" customWidth="1" style="31" min="2821" max="2821"/>
    <col width="33.42578125" customWidth="1" style="31" min="2822" max="2822"/>
    <col width="7.7109375" customWidth="1" style="31" min="2823" max="2823"/>
    <col width="36.7109375" customWidth="1" style="31" min="2824" max="2824"/>
    <col width="33.42578125" customWidth="1" style="31" min="2825" max="2825"/>
    <col width="9.140625" customWidth="1" style="31" min="2826" max="3070"/>
    <col width="8.85546875" customWidth="1" style="31" min="3071" max="3071"/>
    <col width="26.42578125" customWidth="1" style="31" min="3072" max="3073"/>
    <col width="21.85546875" customWidth="1" style="31" min="3074" max="3074"/>
    <col width="13.42578125" customWidth="1" style="31" min="3075" max="3075"/>
    <col width="14.28515625" customWidth="1" style="31" min="3076" max="3076"/>
    <col width="11.85546875" customWidth="1" style="31" min="3077" max="3077"/>
    <col width="33.42578125" customWidth="1" style="31" min="3078" max="3078"/>
    <col width="7.7109375" customWidth="1" style="31" min="3079" max="3079"/>
    <col width="36.7109375" customWidth="1" style="31" min="3080" max="3080"/>
    <col width="33.42578125" customWidth="1" style="31" min="3081" max="3081"/>
    <col width="9.140625" customWidth="1" style="31" min="3082" max="3326"/>
    <col width="8.85546875" customWidth="1" style="31" min="3327" max="3327"/>
    <col width="26.42578125" customWidth="1" style="31" min="3328" max="3329"/>
    <col width="21.85546875" customWidth="1" style="31" min="3330" max="3330"/>
    <col width="13.42578125" customWidth="1" style="31" min="3331" max="3331"/>
    <col width="14.28515625" customWidth="1" style="31" min="3332" max="3332"/>
    <col width="11.85546875" customWidth="1" style="31" min="3333" max="3333"/>
    <col width="33.42578125" customWidth="1" style="31" min="3334" max="3334"/>
    <col width="7.7109375" customWidth="1" style="31" min="3335" max="3335"/>
    <col width="36.7109375" customWidth="1" style="31" min="3336" max="3336"/>
    <col width="33.42578125" customWidth="1" style="31" min="3337" max="3337"/>
    <col width="9.140625" customWidth="1" style="31" min="3338" max="3582"/>
    <col width="8.85546875" customWidth="1" style="31" min="3583" max="3583"/>
    <col width="26.42578125" customWidth="1" style="31" min="3584" max="3585"/>
    <col width="21.85546875" customWidth="1" style="31" min="3586" max="3586"/>
    <col width="13.42578125" customWidth="1" style="31" min="3587" max="3587"/>
    <col width="14.28515625" customWidth="1" style="31" min="3588" max="3588"/>
    <col width="11.85546875" customWidth="1" style="31" min="3589" max="3589"/>
    <col width="33.42578125" customWidth="1" style="31" min="3590" max="3590"/>
    <col width="7.7109375" customWidth="1" style="31" min="3591" max="3591"/>
    <col width="36.7109375" customWidth="1" style="31" min="3592" max="3592"/>
    <col width="33.42578125" customWidth="1" style="31" min="3593" max="3593"/>
    <col width="9.140625" customWidth="1" style="31" min="3594" max="3838"/>
    <col width="8.85546875" customWidth="1" style="31" min="3839" max="3839"/>
    <col width="26.42578125" customWidth="1" style="31" min="3840" max="3841"/>
    <col width="21.85546875" customWidth="1" style="31" min="3842" max="3842"/>
    <col width="13.42578125" customWidth="1" style="31" min="3843" max="3843"/>
    <col width="14.28515625" customWidth="1" style="31" min="3844" max="3844"/>
    <col width="11.85546875" customWidth="1" style="31" min="3845" max="3845"/>
    <col width="33.42578125" customWidth="1" style="31" min="3846" max="3846"/>
    <col width="7.7109375" customWidth="1" style="31" min="3847" max="3847"/>
    <col width="36.7109375" customWidth="1" style="31" min="3848" max="3848"/>
    <col width="33.42578125" customWidth="1" style="31" min="3849" max="3849"/>
    <col width="9.140625" customWidth="1" style="31" min="3850" max="4094"/>
    <col width="8.85546875" customWidth="1" style="31" min="4095" max="4095"/>
    <col width="26.42578125" customWidth="1" style="31" min="4096" max="4097"/>
    <col width="21.85546875" customWidth="1" style="31" min="4098" max="4098"/>
    <col width="13.42578125" customWidth="1" style="31" min="4099" max="4099"/>
    <col width="14.28515625" customWidth="1" style="31" min="4100" max="4100"/>
    <col width="11.85546875" customWidth="1" style="31" min="4101" max="4101"/>
    <col width="33.42578125" customWidth="1" style="31" min="4102" max="4102"/>
    <col width="7.7109375" customWidth="1" style="31" min="4103" max="4103"/>
    <col width="36.7109375" customWidth="1" style="31" min="4104" max="4104"/>
    <col width="33.42578125" customWidth="1" style="31" min="4105" max="4105"/>
    <col width="9.140625" customWidth="1" style="31" min="4106" max="4350"/>
    <col width="8.85546875" customWidth="1" style="31" min="4351" max="4351"/>
    <col width="26.42578125" customWidth="1" style="31" min="4352" max="4353"/>
    <col width="21.85546875" customWidth="1" style="31" min="4354" max="4354"/>
    <col width="13.42578125" customWidth="1" style="31" min="4355" max="4355"/>
    <col width="14.28515625" customWidth="1" style="31" min="4356" max="4356"/>
    <col width="11.85546875" customWidth="1" style="31" min="4357" max="4357"/>
    <col width="33.42578125" customWidth="1" style="31" min="4358" max="4358"/>
    <col width="7.7109375" customWidth="1" style="31" min="4359" max="4359"/>
    <col width="36.7109375" customWidth="1" style="31" min="4360" max="4360"/>
    <col width="33.42578125" customWidth="1" style="31" min="4361" max="4361"/>
    <col width="9.140625" customWidth="1" style="31" min="4362" max="4606"/>
    <col width="8.85546875" customWidth="1" style="31" min="4607" max="4607"/>
    <col width="26.42578125" customWidth="1" style="31" min="4608" max="4609"/>
    <col width="21.85546875" customWidth="1" style="31" min="4610" max="4610"/>
    <col width="13.42578125" customWidth="1" style="31" min="4611" max="4611"/>
    <col width="14.28515625" customWidth="1" style="31" min="4612" max="4612"/>
    <col width="11.85546875" customWidth="1" style="31" min="4613" max="4613"/>
    <col width="33.42578125" customWidth="1" style="31" min="4614" max="4614"/>
    <col width="7.7109375" customWidth="1" style="31" min="4615" max="4615"/>
    <col width="36.7109375" customWidth="1" style="31" min="4616" max="4616"/>
    <col width="33.42578125" customWidth="1" style="31" min="4617" max="4617"/>
    <col width="9.140625" customWidth="1" style="31" min="4618" max="4862"/>
    <col width="8.85546875" customWidth="1" style="31" min="4863" max="4863"/>
    <col width="26.42578125" customWidth="1" style="31" min="4864" max="4865"/>
    <col width="21.85546875" customWidth="1" style="31" min="4866" max="4866"/>
    <col width="13.42578125" customWidth="1" style="31" min="4867" max="4867"/>
    <col width="14.28515625" customWidth="1" style="31" min="4868" max="4868"/>
    <col width="11.85546875" customWidth="1" style="31" min="4869" max="4869"/>
    <col width="33.42578125" customWidth="1" style="31" min="4870" max="4870"/>
    <col width="7.7109375" customWidth="1" style="31" min="4871" max="4871"/>
    <col width="36.7109375" customWidth="1" style="31" min="4872" max="4872"/>
    <col width="33.42578125" customWidth="1" style="31" min="4873" max="4873"/>
    <col width="9.140625" customWidth="1" style="31" min="4874" max="5118"/>
    <col width="8.85546875" customWidth="1" style="31" min="5119" max="5119"/>
    <col width="26.42578125" customWidth="1" style="31" min="5120" max="5121"/>
    <col width="21.85546875" customWidth="1" style="31" min="5122" max="5122"/>
    <col width="13.42578125" customWidth="1" style="31" min="5123" max="5123"/>
    <col width="14.28515625" customWidth="1" style="31" min="5124" max="5124"/>
    <col width="11.85546875" customWidth="1" style="31" min="5125" max="5125"/>
    <col width="33.42578125" customWidth="1" style="31" min="5126" max="5126"/>
    <col width="7.7109375" customWidth="1" style="31" min="5127" max="5127"/>
    <col width="36.7109375" customWidth="1" style="31" min="5128" max="5128"/>
    <col width="33.42578125" customWidth="1" style="31" min="5129" max="5129"/>
    <col width="9.140625" customWidth="1" style="31" min="5130" max="5374"/>
    <col width="8.85546875" customWidth="1" style="31" min="5375" max="5375"/>
    <col width="26.42578125" customWidth="1" style="31" min="5376" max="5377"/>
    <col width="21.85546875" customWidth="1" style="31" min="5378" max="5378"/>
    <col width="13.42578125" customWidth="1" style="31" min="5379" max="5379"/>
    <col width="14.28515625" customWidth="1" style="31" min="5380" max="5380"/>
    <col width="11.85546875" customWidth="1" style="31" min="5381" max="5381"/>
    <col width="33.42578125" customWidth="1" style="31" min="5382" max="5382"/>
    <col width="7.7109375" customWidth="1" style="31" min="5383" max="5383"/>
    <col width="36.7109375" customWidth="1" style="31" min="5384" max="5384"/>
    <col width="33.42578125" customWidth="1" style="31" min="5385" max="5385"/>
    <col width="9.140625" customWidth="1" style="31" min="5386" max="5630"/>
    <col width="8.85546875" customWidth="1" style="31" min="5631" max="5631"/>
    <col width="26.42578125" customWidth="1" style="31" min="5632" max="5633"/>
    <col width="21.85546875" customWidth="1" style="31" min="5634" max="5634"/>
    <col width="13.42578125" customWidth="1" style="31" min="5635" max="5635"/>
    <col width="14.28515625" customWidth="1" style="31" min="5636" max="5636"/>
    <col width="11.85546875" customWidth="1" style="31" min="5637" max="5637"/>
    <col width="33.42578125" customWidth="1" style="31" min="5638" max="5638"/>
    <col width="7.7109375" customWidth="1" style="31" min="5639" max="5639"/>
    <col width="36.7109375" customWidth="1" style="31" min="5640" max="5640"/>
    <col width="33.42578125" customWidth="1" style="31" min="5641" max="5641"/>
    <col width="9.140625" customWidth="1" style="31" min="5642" max="5886"/>
    <col width="8.85546875" customWidth="1" style="31" min="5887" max="5887"/>
    <col width="26.42578125" customWidth="1" style="31" min="5888" max="5889"/>
    <col width="21.85546875" customWidth="1" style="31" min="5890" max="5890"/>
    <col width="13.42578125" customWidth="1" style="31" min="5891" max="5891"/>
    <col width="14.28515625" customWidth="1" style="31" min="5892" max="5892"/>
    <col width="11.85546875" customWidth="1" style="31" min="5893" max="5893"/>
    <col width="33.42578125" customWidth="1" style="31" min="5894" max="5894"/>
    <col width="7.7109375" customWidth="1" style="31" min="5895" max="5895"/>
    <col width="36.7109375" customWidth="1" style="31" min="5896" max="5896"/>
    <col width="33.42578125" customWidth="1" style="31" min="5897" max="5897"/>
    <col width="9.140625" customWidth="1" style="31" min="5898" max="6142"/>
    <col width="8.85546875" customWidth="1" style="31" min="6143" max="6143"/>
    <col width="26.42578125" customWidth="1" style="31" min="6144" max="6145"/>
    <col width="21.85546875" customWidth="1" style="31" min="6146" max="6146"/>
    <col width="13.42578125" customWidth="1" style="31" min="6147" max="6147"/>
    <col width="14.28515625" customWidth="1" style="31" min="6148" max="6148"/>
    <col width="11.85546875" customWidth="1" style="31" min="6149" max="6149"/>
    <col width="33.42578125" customWidth="1" style="31" min="6150" max="6150"/>
    <col width="7.7109375" customWidth="1" style="31" min="6151" max="6151"/>
    <col width="36.7109375" customWidth="1" style="31" min="6152" max="6152"/>
    <col width="33.42578125" customWidth="1" style="31" min="6153" max="6153"/>
    <col width="9.140625" customWidth="1" style="31" min="6154" max="6398"/>
    <col width="8.85546875" customWidth="1" style="31" min="6399" max="6399"/>
    <col width="26.42578125" customWidth="1" style="31" min="6400" max="6401"/>
    <col width="21.85546875" customWidth="1" style="31" min="6402" max="6402"/>
    <col width="13.42578125" customWidth="1" style="31" min="6403" max="6403"/>
    <col width="14.28515625" customWidth="1" style="31" min="6404" max="6404"/>
    <col width="11.85546875" customWidth="1" style="31" min="6405" max="6405"/>
    <col width="33.42578125" customWidth="1" style="31" min="6406" max="6406"/>
    <col width="7.7109375" customWidth="1" style="31" min="6407" max="6407"/>
    <col width="36.7109375" customWidth="1" style="31" min="6408" max="6408"/>
    <col width="33.42578125" customWidth="1" style="31" min="6409" max="6409"/>
    <col width="9.140625" customWidth="1" style="31" min="6410" max="6654"/>
    <col width="8.85546875" customWidth="1" style="31" min="6655" max="6655"/>
    <col width="26.42578125" customWidth="1" style="31" min="6656" max="6657"/>
    <col width="21.85546875" customWidth="1" style="31" min="6658" max="6658"/>
    <col width="13.42578125" customWidth="1" style="31" min="6659" max="6659"/>
    <col width="14.28515625" customWidth="1" style="31" min="6660" max="6660"/>
    <col width="11.85546875" customWidth="1" style="31" min="6661" max="6661"/>
    <col width="33.42578125" customWidth="1" style="31" min="6662" max="6662"/>
    <col width="7.7109375" customWidth="1" style="31" min="6663" max="6663"/>
    <col width="36.7109375" customWidth="1" style="31" min="6664" max="6664"/>
    <col width="33.42578125" customWidth="1" style="31" min="6665" max="6665"/>
    <col width="9.140625" customWidth="1" style="31" min="6666" max="6910"/>
    <col width="8.85546875" customWidth="1" style="31" min="6911" max="6911"/>
    <col width="26.42578125" customWidth="1" style="31" min="6912" max="6913"/>
    <col width="21.85546875" customWidth="1" style="31" min="6914" max="6914"/>
    <col width="13.42578125" customWidth="1" style="31" min="6915" max="6915"/>
    <col width="14.28515625" customWidth="1" style="31" min="6916" max="6916"/>
    <col width="11.85546875" customWidth="1" style="31" min="6917" max="6917"/>
    <col width="33.42578125" customWidth="1" style="31" min="6918" max="6918"/>
    <col width="7.7109375" customWidth="1" style="31" min="6919" max="6919"/>
    <col width="36.7109375" customWidth="1" style="31" min="6920" max="6920"/>
    <col width="33.42578125" customWidth="1" style="31" min="6921" max="6921"/>
    <col width="9.140625" customWidth="1" style="31" min="6922" max="7166"/>
    <col width="8.85546875" customWidth="1" style="31" min="7167" max="7167"/>
    <col width="26.42578125" customWidth="1" style="31" min="7168" max="7169"/>
    <col width="21.85546875" customWidth="1" style="31" min="7170" max="7170"/>
    <col width="13.42578125" customWidth="1" style="31" min="7171" max="7171"/>
    <col width="14.28515625" customWidth="1" style="31" min="7172" max="7172"/>
    <col width="11.85546875" customWidth="1" style="31" min="7173" max="7173"/>
    <col width="33.42578125" customWidth="1" style="31" min="7174" max="7174"/>
    <col width="7.7109375" customWidth="1" style="31" min="7175" max="7175"/>
    <col width="36.7109375" customWidth="1" style="31" min="7176" max="7176"/>
    <col width="33.42578125" customWidth="1" style="31" min="7177" max="7177"/>
    <col width="9.140625" customWidth="1" style="31" min="7178" max="7422"/>
    <col width="8.85546875" customWidth="1" style="31" min="7423" max="7423"/>
    <col width="26.42578125" customWidth="1" style="31" min="7424" max="7425"/>
    <col width="21.85546875" customWidth="1" style="31" min="7426" max="7426"/>
    <col width="13.42578125" customWidth="1" style="31" min="7427" max="7427"/>
    <col width="14.28515625" customWidth="1" style="31" min="7428" max="7428"/>
    <col width="11.85546875" customWidth="1" style="31" min="7429" max="7429"/>
    <col width="33.42578125" customWidth="1" style="31" min="7430" max="7430"/>
    <col width="7.7109375" customWidth="1" style="31" min="7431" max="7431"/>
    <col width="36.7109375" customWidth="1" style="31" min="7432" max="7432"/>
    <col width="33.42578125" customWidth="1" style="31" min="7433" max="7433"/>
    <col width="9.140625" customWidth="1" style="31" min="7434" max="7678"/>
    <col width="8.85546875" customWidth="1" style="31" min="7679" max="7679"/>
    <col width="26.42578125" customWidth="1" style="31" min="7680" max="7681"/>
    <col width="21.85546875" customWidth="1" style="31" min="7682" max="7682"/>
    <col width="13.42578125" customWidth="1" style="31" min="7683" max="7683"/>
    <col width="14.28515625" customWidth="1" style="31" min="7684" max="7684"/>
    <col width="11.85546875" customWidth="1" style="31" min="7685" max="7685"/>
    <col width="33.42578125" customWidth="1" style="31" min="7686" max="7686"/>
    <col width="7.7109375" customWidth="1" style="31" min="7687" max="7687"/>
    <col width="36.7109375" customWidth="1" style="31" min="7688" max="7688"/>
    <col width="33.42578125" customWidth="1" style="31" min="7689" max="7689"/>
    <col width="9.140625" customWidth="1" style="31" min="7690" max="7934"/>
    <col width="8.85546875" customWidth="1" style="31" min="7935" max="7935"/>
    <col width="26.42578125" customWidth="1" style="31" min="7936" max="7937"/>
    <col width="21.85546875" customWidth="1" style="31" min="7938" max="7938"/>
    <col width="13.42578125" customWidth="1" style="31" min="7939" max="7939"/>
    <col width="14.28515625" customWidth="1" style="31" min="7940" max="7940"/>
    <col width="11.85546875" customWidth="1" style="31" min="7941" max="7941"/>
    <col width="33.42578125" customWidth="1" style="31" min="7942" max="7942"/>
    <col width="7.7109375" customWidth="1" style="31" min="7943" max="7943"/>
    <col width="36.7109375" customWidth="1" style="31" min="7944" max="7944"/>
    <col width="33.42578125" customWidth="1" style="31" min="7945" max="7945"/>
    <col width="9.140625" customWidth="1" style="31" min="7946" max="8190"/>
    <col width="8.85546875" customWidth="1" style="31" min="8191" max="8191"/>
    <col width="26.42578125" customWidth="1" style="31" min="8192" max="8193"/>
    <col width="21.85546875" customWidth="1" style="31" min="8194" max="8194"/>
    <col width="13.42578125" customWidth="1" style="31" min="8195" max="8195"/>
    <col width="14.28515625" customWidth="1" style="31" min="8196" max="8196"/>
    <col width="11.85546875" customWidth="1" style="31" min="8197" max="8197"/>
    <col width="33.42578125" customWidth="1" style="31" min="8198" max="8198"/>
    <col width="7.7109375" customWidth="1" style="31" min="8199" max="8199"/>
    <col width="36.7109375" customWidth="1" style="31" min="8200" max="8200"/>
    <col width="33.42578125" customWidth="1" style="31" min="8201" max="8201"/>
    <col width="9.140625" customWidth="1" style="31" min="8202" max="8446"/>
    <col width="8.85546875" customWidth="1" style="31" min="8447" max="8447"/>
    <col width="26.42578125" customWidth="1" style="31" min="8448" max="8449"/>
    <col width="21.85546875" customWidth="1" style="31" min="8450" max="8450"/>
    <col width="13.42578125" customWidth="1" style="31" min="8451" max="8451"/>
    <col width="14.28515625" customWidth="1" style="31" min="8452" max="8452"/>
    <col width="11.85546875" customWidth="1" style="31" min="8453" max="8453"/>
    <col width="33.42578125" customWidth="1" style="31" min="8454" max="8454"/>
    <col width="7.7109375" customWidth="1" style="31" min="8455" max="8455"/>
    <col width="36.7109375" customWidth="1" style="31" min="8456" max="8456"/>
    <col width="33.42578125" customWidth="1" style="31" min="8457" max="8457"/>
    <col width="9.140625" customWidth="1" style="31" min="8458" max="8702"/>
    <col width="8.85546875" customWidth="1" style="31" min="8703" max="8703"/>
    <col width="26.42578125" customWidth="1" style="31" min="8704" max="8705"/>
    <col width="21.85546875" customWidth="1" style="31" min="8706" max="8706"/>
    <col width="13.42578125" customWidth="1" style="31" min="8707" max="8707"/>
    <col width="14.28515625" customWidth="1" style="31" min="8708" max="8708"/>
    <col width="11.85546875" customWidth="1" style="31" min="8709" max="8709"/>
    <col width="33.42578125" customWidth="1" style="31" min="8710" max="8710"/>
    <col width="7.7109375" customWidth="1" style="31" min="8711" max="8711"/>
    <col width="36.7109375" customWidth="1" style="31" min="8712" max="8712"/>
    <col width="33.42578125" customWidth="1" style="31" min="8713" max="8713"/>
    <col width="9.140625" customWidth="1" style="31" min="8714" max="8958"/>
    <col width="8.85546875" customWidth="1" style="31" min="8959" max="8959"/>
    <col width="26.42578125" customWidth="1" style="31" min="8960" max="8961"/>
    <col width="21.85546875" customWidth="1" style="31" min="8962" max="8962"/>
    <col width="13.42578125" customWidth="1" style="31" min="8963" max="8963"/>
    <col width="14.28515625" customWidth="1" style="31" min="8964" max="8964"/>
    <col width="11.85546875" customWidth="1" style="31" min="8965" max="8965"/>
    <col width="33.42578125" customWidth="1" style="31" min="8966" max="8966"/>
    <col width="7.7109375" customWidth="1" style="31" min="8967" max="8967"/>
    <col width="36.7109375" customWidth="1" style="31" min="8968" max="8968"/>
    <col width="33.42578125" customWidth="1" style="31" min="8969" max="8969"/>
    <col width="9.140625" customWidth="1" style="31" min="8970" max="9214"/>
    <col width="8.85546875" customWidth="1" style="31" min="9215" max="9215"/>
    <col width="26.42578125" customWidth="1" style="31" min="9216" max="9217"/>
    <col width="21.85546875" customWidth="1" style="31" min="9218" max="9218"/>
    <col width="13.42578125" customWidth="1" style="31" min="9219" max="9219"/>
    <col width="14.28515625" customWidth="1" style="31" min="9220" max="9220"/>
    <col width="11.85546875" customWidth="1" style="31" min="9221" max="9221"/>
    <col width="33.42578125" customWidth="1" style="31" min="9222" max="9222"/>
    <col width="7.7109375" customWidth="1" style="31" min="9223" max="9223"/>
    <col width="36.7109375" customWidth="1" style="31" min="9224" max="9224"/>
    <col width="33.42578125" customWidth="1" style="31" min="9225" max="9225"/>
    <col width="9.140625" customWidth="1" style="31" min="9226" max="9470"/>
    <col width="8.85546875" customWidth="1" style="31" min="9471" max="9471"/>
    <col width="26.42578125" customWidth="1" style="31" min="9472" max="9473"/>
    <col width="21.85546875" customWidth="1" style="31" min="9474" max="9474"/>
    <col width="13.42578125" customWidth="1" style="31" min="9475" max="9475"/>
    <col width="14.28515625" customWidth="1" style="31" min="9476" max="9476"/>
    <col width="11.85546875" customWidth="1" style="31" min="9477" max="9477"/>
    <col width="33.42578125" customWidth="1" style="31" min="9478" max="9478"/>
    <col width="7.7109375" customWidth="1" style="31" min="9479" max="9479"/>
    <col width="36.7109375" customWidth="1" style="31" min="9480" max="9480"/>
    <col width="33.42578125" customWidth="1" style="31" min="9481" max="9481"/>
    <col width="9.140625" customWidth="1" style="31" min="9482" max="9726"/>
    <col width="8.85546875" customWidth="1" style="31" min="9727" max="9727"/>
    <col width="26.42578125" customWidth="1" style="31" min="9728" max="9729"/>
    <col width="21.85546875" customWidth="1" style="31" min="9730" max="9730"/>
    <col width="13.42578125" customWidth="1" style="31" min="9731" max="9731"/>
    <col width="14.28515625" customWidth="1" style="31" min="9732" max="9732"/>
    <col width="11.85546875" customWidth="1" style="31" min="9733" max="9733"/>
    <col width="33.42578125" customWidth="1" style="31" min="9734" max="9734"/>
    <col width="7.7109375" customWidth="1" style="31" min="9735" max="9735"/>
    <col width="36.7109375" customWidth="1" style="31" min="9736" max="9736"/>
    <col width="33.42578125" customWidth="1" style="31" min="9737" max="9737"/>
    <col width="9.140625" customWidth="1" style="31" min="9738" max="9982"/>
    <col width="8.85546875" customWidth="1" style="31" min="9983" max="9983"/>
    <col width="26.42578125" customWidth="1" style="31" min="9984" max="9985"/>
    <col width="21.85546875" customWidth="1" style="31" min="9986" max="9986"/>
    <col width="13.42578125" customWidth="1" style="31" min="9987" max="9987"/>
    <col width="14.28515625" customWidth="1" style="31" min="9988" max="9988"/>
    <col width="11.85546875" customWidth="1" style="31" min="9989" max="9989"/>
    <col width="33.42578125" customWidth="1" style="31" min="9990" max="9990"/>
    <col width="7.7109375" customWidth="1" style="31" min="9991" max="9991"/>
    <col width="36.7109375" customWidth="1" style="31" min="9992" max="9992"/>
    <col width="33.42578125" customWidth="1" style="31" min="9993" max="9993"/>
    <col width="9.140625" customWidth="1" style="31" min="9994" max="10238"/>
    <col width="8.85546875" customWidth="1" style="31" min="10239" max="10239"/>
    <col width="26.42578125" customWidth="1" style="31" min="10240" max="10241"/>
    <col width="21.85546875" customWidth="1" style="31" min="10242" max="10242"/>
    <col width="13.42578125" customWidth="1" style="31" min="10243" max="10243"/>
    <col width="14.28515625" customWidth="1" style="31" min="10244" max="10244"/>
    <col width="11.85546875" customWidth="1" style="31" min="10245" max="10245"/>
    <col width="33.42578125" customWidth="1" style="31" min="10246" max="10246"/>
    <col width="7.7109375" customWidth="1" style="31" min="10247" max="10247"/>
    <col width="36.7109375" customWidth="1" style="31" min="10248" max="10248"/>
    <col width="33.42578125" customWidth="1" style="31" min="10249" max="10249"/>
    <col width="9.140625" customWidth="1" style="31" min="10250" max="10494"/>
    <col width="8.85546875" customWidth="1" style="31" min="10495" max="10495"/>
    <col width="26.42578125" customWidth="1" style="31" min="10496" max="10497"/>
    <col width="21.85546875" customWidth="1" style="31" min="10498" max="10498"/>
    <col width="13.42578125" customWidth="1" style="31" min="10499" max="10499"/>
    <col width="14.28515625" customWidth="1" style="31" min="10500" max="10500"/>
    <col width="11.85546875" customWidth="1" style="31" min="10501" max="10501"/>
    <col width="33.42578125" customWidth="1" style="31" min="10502" max="10502"/>
    <col width="7.7109375" customWidth="1" style="31" min="10503" max="10503"/>
    <col width="36.7109375" customWidth="1" style="31" min="10504" max="10504"/>
    <col width="33.42578125" customWidth="1" style="31" min="10505" max="10505"/>
    <col width="9.140625" customWidth="1" style="31" min="10506" max="10750"/>
    <col width="8.85546875" customWidth="1" style="31" min="10751" max="10751"/>
    <col width="26.42578125" customWidth="1" style="31" min="10752" max="10753"/>
    <col width="21.85546875" customWidth="1" style="31" min="10754" max="10754"/>
    <col width="13.42578125" customWidth="1" style="31" min="10755" max="10755"/>
    <col width="14.28515625" customWidth="1" style="31" min="10756" max="10756"/>
    <col width="11.85546875" customWidth="1" style="31" min="10757" max="10757"/>
    <col width="33.42578125" customWidth="1" style="31" min="10758" max="10758"/>
    <col width="7.7109375" customWidth="1" style="31" min="10759" max="10759"/>
    <col width="36.7109375" customWidth="1" style="31" min="10760" max="10760"/>
    <col width="33.42578125" customWidth="1" style="31" min="10761" max="10761"/>
    <col width="9.140625" customWidth="1" style="31" min="10762" max="11006"/>
    <col width="8.85546875" customWidth="1" style="31" min="11007" max="11007"/>
    <col width="26.42578125" customWidth="1" style="31" min="11008" max="11009"/>
    <col width="21.85546875" customWidth="1" style="31" min="11010" max="11010"/>
    <col width="13.42578125" customWidth="1" style="31" min="11011" max="11011"/>
    <col width="14.28515625" customWidth="1" style="31" min="11012" max="11012"/>
    <col width="11.85546875" customWidth="1" style="31" min="11013" max="11013"/>
    <col width="33.42578125" customWidth="1" style="31" min="11014" max="11014"/>
    <col width="7.7109375" customWidth="1" style="31" min="11015" max="11015"/>
    <col width="36.7109375" customWidth="1" style="31" min="11016" max="11016"/>
    <col width="33.42578125" customWidth="1" style="31" min="11017" max="11017"/>
    <col width="9.140625" customWidth="1" style="31" min="11018" max="11262"/>
    <col width="8.85546875" customWidth="1" style="31" min="11263" max="11263"/>
    <col width="26.42578125" customWidth="1" style="31" min="11264" max="11265"/>
    <col width="21.85546875" customWidth="1" style="31" min="11266" max="11266"/>
    <col width="13.42578125" customWidth="1" style="31" min="11267" max="11267"/>
    <col width="14.28515625" customWidth="1" style="31" min="11268" max="11268"/>
    <col width="11.85546875" customWidth="1" style="31" min="11269" max="11269"/>
    <col width="33.42578125" customWidth="1" style="31" min="11270" max="11270"/>
    <col width="7.7109375" customWidth="1" style="31" min="11271" max="11271"/>
    <col width="36.7109375" customWidth="1" style="31" min="11272" max="11272"/>
    <col width="33.42578125" customWidth="1" style="31" min="11273" max="11273"/>
    <col width="9.140625" customWidth="1" style="31" min="11274" max="11518"/>
    <col width="8.85546875" customWidth="1" style="31" min="11519" max="11519"/>
    <col width="26.42578125" customWidth="1" style="31" min="11520" max="11521"/>
    <col width="21.85546875" customWidth="1" style="31" min="11522" max="11522"/>
    <col width="13.42578125" customWidth="1" style="31" min="11523" max="11523"/>
    <col width="14.28515625" customWidth="1" style="31" min="11524" max="11524"/>
    <col width="11.85546875" customWidth="1" style="31" min="11525" max="11525"/>
    <col width="33.42578125" customWidth="1" style="31" min="11526" max="11526"/>
    <col width="7.7109375" customWidth="1" style="31" min="11527" max="11527"/>
    <col width="36.7109375" customWidth="1" style="31" min="11528" max="11528"/>
    <col width="33.42578125" customWidth="1" style="31" min="11529" max="11529"/>
    <col width="9.140625" customWidth="1" style="31" min="11530" max="11774"/>
    <col width="8.85546875" customWidth="1" style="31" min="11775" max="11775"/>
    <col width="26.42578125" customWidth="1" style="31" min="11776" max="11777"/>
    <col width="21.85546875" customWidth="1" style="31" min="11778" max="11778"/>
    <col width="13.42578125" customWidth="1" style="31" min="11779" max="11779"/>
    <col width="14.28515625" customWidth="1" style="31" min="11780" max="11780"/>
    <col width="11.85546875" customWidth="1" style="31" min="11781" max="11781"/>
    <col width="33.42578125" customWidth="1" style="31" min="11782" max="11782"/>
    <col width="7.7109375" customWidth="1" style="31" min="11783" max="11783"/>
    <col width="36.7109375" customWidth="1" style="31" min="11784" max="11784"/>
    <col width="33.42578125" customWidth="1" style="31" min="11785" max="11785"/>
    <col width="9.140625" customWidth="1" style="31" min="11786" max="12030"/>
    <col width="8.85546875" customWidth="1" style="31" min="12031" max="12031"/>
    <col width="26.42578125" customWidth="1" style="31" min="12032" max="12033"/>
    <col width="21.85546875" customWidth="1" style="31" min="12034" max="12034"/>
    <col width="13.42578125" customWidth="1" style="31" min="12035" max="12035"/>
    <col width="14.28515625" customWidth="1" style="31" min="12036" max="12036"/>
    <col width="11.85546875" customWidth="1" style="31" min="12037" max="12037"/>
    <col width="33.42578125" customWidth="1" style="31" min="12038" max="12038"/>
    <col width="7.7109375" customWidth="1" style="31" min="12039" max="12039"/>
    <col width="36.7109375" customWidth="1" style="31" min="12040" max="12040"/>
    <col width="33.42578125" customWidth="1" style="31" min="12041" max="12041"/>
    <col width="9.140625" customWidth="1" style="31" min="12042" max="12286"/>
    <col width="8.85546875" customWidth="1" style="31" min="12287" max="12287"/>
    <col width="26.42578125" customWidth="1" style="31" min="12288" max="12289"/>
    <col width="21.85546875" customWidth="1" style="31" min="12290" max="12290"/>
    <col width="13.42578125" customWidth="1" style="31" min="12291" max="12291"/>
    <col width="14.28515625" customWidth="1" style="31" min="12292" max="12292"/>
    <col width="11.85546875" customWidth="1" style="31" min="12293" max="12293"/>
    <col width="33.42578125" customWidth="1" style="31" min="12294" max="12294"/>
    <col width="7.7109375" customWidth="1" style="31" min="12295" max="12295"/>
    <col width="36.7109375" customWidth="1" style="31" min="12296" max="12296"/>
    <col width="33.42578125" customWidth="1" style="31" min="12297" max="12297"/>
    <col width="9.140625" customWidth="1" style="31" min="12298" max="12542"/>
    <col width="8.85546875" customWidth="1" style="31" min="12543" max="12543"/>
    <col width="26.42578125" customWidth="1" style="31" min="12544" max="12545"/>
    <col width="21.85546875" customWidth="1" style="31" min="12546" max="12546"/>
    <col width="13.42578125" customWidth="1" style="31" min="12547" max="12547"/>
    <col width="14.28515625" customWidth="1" style="31" min="12548" max="12548"/>
    <col width="11.85546875" customWidth="1" style="31" min="12549" max="12549"/>
    <col width="33.42578125" customWidth="1" style="31" min="12550" max="12550"/>
    <col width="7.7109375" customWidth="1" style="31" min="12551" max="12551"/>
    <col width="36.7109375" customWidth="1" style="31" min="12552" max="12552"/>
    <col width="33.42578125" customWidth="1" style="31" min="12553" max="12553"/>
    <col width="9.140625" customWidth="1" style="31" min="12554" max="12798"/>
    <col width="8.85546875" customWidth="1" style="31" min="12799" max="12799"/>
    <col width="26.42578125" customWidth="1" style="31" min="12800" max="12801"/>
    <col width="21.85546875" customWidth="1" style="31" min="12802" max="12802"/>
    <col width="13.42578125" customWidth="1" style="31" min="12803" max="12803"/>
    <col width="14.28515625" customWidth="1" style="31" min="12804" max="12804"/>
    <col width="11.85546875" customWidth="1" style="31" min="12805" max="12805"/>
    <col width="33.42578125" customWidth="1" style="31" min="12806" max="12806"/>
    <col width="7.7109375" customWidth="1" style="31" min="12807" max="12807"/>
    <col width="36.7109375" customWidth="1" style="31" min="12808" max="12808"/>
    <col width="33.42578125" customWidth="1" style="31" min="12809" max="12809"/>
    <col width="9.140625" customWidth="1" style="31" min="12810" max="13054"/>
    <col width="8.85546875" customWidth="1" style="31" min="13055" max="13055"/>
    <col width="26.42578125" customWidth="1" style="31" min="13056" max="13057"/>
    <col width="21.85546875" customWidth="1" style="31" min="13058" max="13058"/>
    <col width="13.42578125" customWidth="1" style="31" min="13059" max="13059"/>
    <col width="14.28515625" customWidth="1" style="31" min="13060" max="13060"/>
    <col width="11.85546875" customWidth="1" style="31" min="13061" max="13061"/>
    <col width="33.42578125" customWidth="1" style="31" min="13062" max="13062"/>
    <col width="7.7109375" customWidth="1" style="31" min="13063" max="13063"/>
    <col width="36.7109375" customWidth="1" style="31" min="13064" max="13064"/>
    <col width="33.42578125" customWidth="1" style="31" min="13065" max="13065"/>
    <col width="9.140625" customWidth="1" style="31" min="13066" max="13310"/>
    <col width="8.85546875" customWidth="1" style="31" min="13311" max="13311"/>
    <col width="26.42578125" customWidth="1" style="31" min="13312" max="13313"/>
    <col width="21.85546875" customWidth="1" style="31" min="13314" max="13314"/>
    <col width="13.42578125" customWidth="1" style="31" min="13315" max="13315"/>
    <col width="14.28515625" customWidth="1" style="31" min="13316" max="13316"/>
    <col width="11.85546875" customWidth="1" style="31" min="13317" max="13317"/>
    <col width="33.42578125" customWidth="1" style="31" min="13318" max="13318"/>
    <col width="7.7109375" customWidth="1" style="31" min="13319" max="13319"/>
    <col width="36.7109375" customWidth="1" style="31" min="13320" max="13320"/>
    <col width="33.42578125" customWidth="1" style="31" min="13321" max="13321"/>
    <col width="9.140625" customWidth="1" style="31" min="13322" max="13566"/>
    <col width="8.85546875" customWidth="1" style="31" min="13567" max="13567"/>
    <col width="26.42578125" customWidth="1" style="31" min="13568" max="13569"/>
    <col width="21.85546875" customWidth="1" style="31" min="13570" max="13570"/>
    <col width="13.42578125" customWidth="1" style="31" min="13571" max="13571"/>
    <col width="14.28515625" customWidth="1" style="31" min="13572" max="13572"/>
    <col width="11.85546875" customWidth="1" style="31" min="13573" max="13573"/>
    <col width="33.42578125" customWidth="1" style="31" min="13574" max="13574"/>
    <col width="7.7109375" customWidth="1" style="31" min="13575" max="13575"/>
    <col width="36.7109375" customWidth="1" style="31" min="13576" max="13576"/>
    <col width="33.42578125" customWidth="1" style="31" min="13577" max="13577"/>
    <col width="9.140625" customWidth="1" style="31" min="13578" max="13822"/>
    <col width="8.85546875" customWidth="1" style="31" min="13823" max="13823"/>
    <col width="26.42578125" customWidth="1" style="31" min="13824" max="13825"/>
    <col width="21.85546875" customWidth="1" style="31" min="13826" max="13826"/>
    <col width="13.42578125" customWidth="1" style="31" min="13827" max="13827"/>
    <col width="14.28515625" customWidth="1" style="31" min="13828" max="13828"/>
    <col width="11.85546875" customWidth="1" style="31" min="13829" max="13829"/>
    <col width="33.42578125" customWidth="1" style="31" min="13830" max="13830"/>
    <col width="7.7109375" customWidth="1" style="31" min="13831" max="13831"/>
    <col width="36.7109375" customWidth="1" style="31" min="13832" max="13832"/>
    <col width="33.42578125" customWidth="1" style="31" min="13833" max="13833"/>
    <col width="9.140625" customWidth="1" style="31" min="13834" max="14078"/>
    <col width="8.85546875" customWidth="1" style="31" min="14079" max="14079"/>
    <col width="26.42578125" customWidth="1" style="31" min="14080" max="14081"/>
    <col width="21.85546875" customWidth="1" style="31" min="14082" max="14082"/>
    <col width="13.42578125" customWidth="1" style="31" min="14083" max="14083"/>
    <col width="14.28515625" customWidth="1" style="31" min="14084" max="14084"/>
    <col width="11.85546875" customWidth="1" style="31" min="14085" max="14085"/>
    <col width="33.42578125" customWidth="1" style="31" min="14086" max="14086"/>
    <col width="7.7109375" customWidth="1" style="31" min="14087" max="14087"/>
    <col width="36.7109375" customWidth="1" style="31" min="14088" max="14088"/>
    <col width="33.42578125" customWidth="1" style="31" min="14089" max="14089"/>
    <col width="9.140625" customWidth="1" style="31" min="14090" max="14334"/>
    <col width="8.85546875" customWidth="1" style="31" min="14335" max="14335"/>
    <col width="26.42578125" customWidth="1" style="31" min="14336" max="14337"/>
    <col width="21.85546875" customWidth="1" style="31" min="14338" max="14338"/>
    <col width="13.42578125" customWidth="1" style="31" min="14339" max="14339"/>
    <col width="14.28515625" customWidth="1" style="31" min="14340" max="14340"/>
    <col width="11.85546875" customWidth="1" style="31" min="14341" max="14341"/>
    <col width="33.42578125" customWidth="1" style="31" min="14342" max="14342"/>
    <col width="7.7109375" customWidth="1" style="31" min="14343" max="14343"/>
    <col width="36.7109375" customWidth="1" style="31" min="14344" max="14344"/>
    <col width="33.42578125" customWidth="1" style="31" min="14345" max="14345"/>
    <col width="9.140625" customWidth="1" style="31" min="14346" max="14590"/>
    <col width="8.85546875" customWidth="1" style="31" min="14591" max="14591"/>
    <col width="26.42578125" customWidth="1" style="31" min="14592" max="14593"/>
    <col width="21.85546875" customWidth="1" style="31" min="14594" max="14594"/>
    <col width="13.42578125" customWidth="1" style="31" min="14595" max="14595"/>
    <col width="14.28515625" customWidth="1" style="31" min="14596" max="14596"/>
    <col width="11.85546875" customWidth="1" style="31" min="14597" max="14597"/>
    <col width="33.42578125" customWidth="1" style="31" min="14598" max="14598"/>
    <col width="7.7109375" customWidth="1" style="31" min="14599" max="14599"/>
    <col width="36.7109375" customWidth="1" style="31" min="14600" max="14600"/>
    <col width="33.42578125" customWidth="1" style="31" min="14601" max="14601"/>
    <col width="9.140625" customWidth="1" style="31" min="14602" max="14846"/>
    <col width="8.85546875" customWidth="1" style="31" min="14847" max="14847"/>
    <col width="26.42578125" customWidth="1" style="31" min="14848" max="14849"/>
    <col width="21.85546875" customWidth="1" style="31" min="14850" max="14850"/>
    <col width="13.42578125" customWidth="1" style="31" min="14851" max="14851"/>
    <col width="14.28515625" customWidth="1" style="31" min="14852" max="14852"/>
    <col width="11.85546875" customWidth="1" style="31" min="14853" max="14853"/>
    <col width="33.42578125" customWidth="1" style="31" min="14854" max="14854"/>
    <col width="7.7109375" customWidth="1" style="31" min="14855" max="14855"/>
    <col width="36.7109375" customWidth="1" style="31" min="14856" max="14856"/>
    <col width="33.42578125" customWidth="1" style="31" min="14857" max="14857"/>
    <col width="9.140625" customWidth="1" style="31" min="14858" max="15102"/>
    <col width="8.85546875" customWidth="1" style="31" min="15103" max="15103"/>
    <col width="26.42578125" customWidth="1" style="31" min="15104" max="15105"/>
    <col width="21.85546875" customWidth="1" style="31" min="15106" max="15106"/>
    <col width="13.42578125" customWidth="1" style="31" min="15107" max="15107"/>
    <col width="14.28515625" customWidth="1" style="31" min="15108" max="15108"/>
    <col width="11.85546875" customWidth="1" style="31" min="15109" max="15109"/>
    <col width="33.42578125" customWidth="1" style="31" min="15110" max="15110"/>
    <col width="7.7109375" customWidth="1" style="31" min="15111" max="15111"/>
    <col width="36.7109375" customWidth="1" style="31" min="15112" max="15112"/>
    <col width="33.42578125" customWidth="1" style="31" min="15113" max="15113"/>
    <col width="9.140625" customWidth="1" style="31" min="15114" max="15358"/>
    <col width="8.85546875" customWidth="1" style="31" min="15359" max="15359"/>
    <col width="26.42578125" customWidth="1" style="31" min="15360" max="15361"/>
    <col width="21.85546875" customWidth="1" style="31" min="15362" max="15362"/>
    <col width="13.42578125" customWidth="1" style="31" min="15363" max="15363"/>
    <col width="14.28515625" customWidth="1" style="31" min="15364" max="15364"/>
    <col width="11.85546875" customWidth="1" style="31" min="15365" max="15365"/>
    <col width="33.42578125" customWidth="1" style="31" min="15366" max="15366"/>
    <col width="7.7109375" customWidth="1" style="31" min="15367" max="15367"/>
    <col width="36.7109375" customWidth="1" style="31" min="15368" max="15368"/>
    <col width="33.42578125" customWidth="1" style="31" min="15369" max="15369"/>
    <col width="9.140625" customWidth="1" style="31" min="15370" max="15614"/>
    <col width="8.85546875" customWidth="1" style="31" min="15615" max="15615"/>
    <col width="26.42578125" customWidth="1" style="31" min="15616" max="15617"/>
    <col width="21.85546875" customWidth="1" style="31" min="15618" max="15618"/>
    <col width="13.42578125" customWidth="1" style="31" min="15619" max="15619"/>
    <col width="14.28515625" customWidth="1" style="31" min="15620" max="15620"/>
    <col width="11.85546875" customWidth="1" style="31" min="15621" max="15621"/>
    <col width="33.42578125" customWidth="1" style="31" min="15622" max="15622"/>
    <col width="7.7109375" customWidth="1" style="31" min="15623" max="15623"/>
    <col width="36.7109375" customWidth="1" style="31" min="15624" max="15624"/>
    <col width="33.42578125" customWidth="1" style="31" min="15625" max="15625"/>
    <col width="9.140625" customWidth="1" style="31" min="15626" max="15870"/>
    <col width="8.85546875" customWidth="1" style="31" min="15871" max="15871"/>
    <col width="26.42578125" customWidth="1" style="31" min="15872" max="15873"/>
    <col width="21.85546875" customWidth="1" style="31" min="15874" max="15874"/>
    <col width="13.42578125" customWidth="1" style="31" min="15875" max="15875"/>
    <col width="14.28515625" customWidth="1" style="31" min="15876" max="15876"/>
    <col width="11.85546875" customWidth="1" style="31" min="15877" max="15877"/>
    <col width="33.42578125" customWidth="1" style="31" min="15878" max="15878"/>
    <col width="7.7109375" customWidth="1" style="31" min="15879" max="15879"/>
    <col width="36.7109375" customWidth="1" style="31" min="15880" max="15880"/>
    <col width="33.42578125" customWidth="1" style="31" min="15881" max="15881"/>
    <col width="9.140625" customWidth="1" style="31" min="15882" max="16126"/>
    <col width="8.85546875" customWidth="1" style="31" min="16127" max="16127"/>
    <col width="26.42578125" customWidth="1" style="31" min="16128" max="16129"/>
    <col width="21.85546875" customWidth="1" style="31" min="16130" max="16130"/>
    <col width="13.42578125" customWidth="1" style="31" min="16131" max="16131"/>
    <col width="14.28515625" customWidth="1" style="31" min="16132" max="16132"/>
    <col width="11.85546875" customWidth="1" style="31" min="16133" max="16133"/>
    <col width="33.42578125" customWidth="1" style="31" min="16134" max="16134"/>
    <col width="7.7109375" customWidth="1" style="31" min="16135" max="16135"/>
    <col width="36.7109375" customWidth="1" style="31" min="16136" max="16136"/>
    <col width="33.42578125" customWidth="1" style="31" min="16137" max="16137"/>
    <col width="9.140625" customWidth="1" style="31" min="16138" max="16384"/>
  </cols>
  <sheetData>
    <row r="1" ht="27.75" customFormat="1" customHeight="1" s="38" thickBot="1">
      <c r="A1" s="50" t="inlineStr">
        <is>
          <t>SNO</t>
        </is>
      </c>
      <c r="B1" s="51" t="inlineStr">
        <is>
          <t>SHORT DESCRIPTION</t>
        </is>
      </c>
      <c r="C1" s="149" t="inlineStr">
        <is>
          <t>TAG NO</t>
        </is>
      </c>
      <c r="D1" s="123" t="inlineStr">
        <is>
          <t xml:space="preserve"> Qty Instld</t>
        </is>
      </c>
      <c r="E1" s="123" t="inlineStr">
        <is>
          <t>Qty Req</t>
        </is>
      </c>
      <c r="F1" s="149" t="inlineStr">
        <is>
          <t>Item</t>
        </is>
      </c>
      <c r="G1" s="149" t="inlineStr">
        <is>
          <t>Specification</t>
        </is>
      </c>
      <c r="H1" s="122" t="inlineStr">
        <is>
          <t>Qty avbl</t>
        </is>
      </c>
      <c r="I1" s="123" t="inlineStr">
        <is>
          <t>JUL</t>
        </is>
      </c>
      <c r="J1" s="123" t="inlineStr">
        <is>
          <t>AUG</t>
        </is>
      </c>
      <c r="K1" s="123" t="inlineStr">
        <is>
          <t>SEP</t>
        </is>
      </c>
      <c r="L1" s="123" t="inlineStr">
        <is>
          <t>OCT</t>
        </is>
      </c>
      <c r="M1" s="123" t="inlineStr">
        <is>
          <t>NOV</t>
        </is>
      </c>
      <c r="N1" s="123" t="inlineStr">
        <is>
          <t>DEC</t>
        </is>
      </c>
      <c r="O1" s="211" t="inlineStr">
        <is>
          <t>Spare to be indent</t>
        </is>
      </c>
    </row>
    <row r="2" ht="59.25" customFormat="1" customHeight="1" s="38">
      <c r="A2" s="27" t="n">
        <v>1</v>
      </c>
      <c r="B2" s="32" t="inlineStr">
        <is>
          <t>PCI_FSV DN 350</t>
        </is>
      </c>
      <c r="C2" s="124" t="inlineStr">
        <is>
          <t>FSV-201</t>
        </is>
      </c>
      <c r="D2" s="124" t="n">
        <v>1</v>
      </c>
      <c r="E2" s="150" t="n">
        <v>1</v>
      </c>
      <c r="F2" s="151" t="inlineStr">
        <is>
          <t>Pneumatic quick cut off valves</t>
        </is>
      </c>
      <c r="G2" s="152" t="inlineStr">
        <is>
          <t>Pg10kg/cm2; medium: fulverized coal, T＜100℃, DC24V, explosion-proof
Model:- D643H-2.5C, DN 350,Size-185mm
Make:- Gonkai</t>
        </is>
      </c>
      <c r="H2" s="155" t="n">
        <v>0</v>
      </c>
      <c r="I2" s="155" t="n">
        <v>0</v>
      </c>
      <c r="J2" s="155" t="n"/>
      <c r="K2" s="155" t="n"/>
      <c r="L2" s="155" t="n"/>
      <c r="M2" s="155" t="n"/>
      <c r="N2" s="155" t="n"/>
      <c r="O2" s="219">
        <f>SUM(E2-H2)</f>
        <v/>
      </c>
    </row>
    <row r="3" ht="59.25" customFormat="1" customHeight="1" s="38">
      <c r="A3" s="28" t="n">
        <v>2</v>
      </c>
      <c r="B3" s="33" t="inlineStr">
        <is>
          <t>PCI_FSV DN 250</t>
        </is>
      </c>
      <c r="C3" s="155" t="inlineStr">
        <is>
          <t>FSV-506/513/520/527</t>
        </is>
      </c>
      <c r="D3" s="155" t="n">
        <v>4</v>
      </c>
      <c r="E3" s="153" t="n">
        <v>1</v>
      </c>
      <c r="F3" s="154" t="inlineStr">
        <is>
          <t>Pneumatic metal hard sealing butterfly valves</t>
        </is>
      </c>
      <c r="G3" s="152" t="inlineStr">
        <is>
          <t>Pg10kg/cm2; medium: fulverized coal, T＜100℃, DC24V, explosion-proof
Model:- D643Y-10C, DN 250,Size:-160mm
Make:- Gonkai</t>
        </is>
      </c>
      <c r="H3" s="155" t="n">
        <v>0</v>
      </c>
      <c r="I3" s="155" t="n">
        <v>0</v>
      </c>
      <c r="J3" s="155" t="n"/>
      <c r="K3" s="155" t="n"/>
      <c r="L3" s="155" t="n"/>
      <c r="M3" s="155" t="n"/>
      <c r="N3" s="155" t="n"/>
      <c r="O3" s="219">
        <f>SUM(E3-H3)</f>
        <v/>
      </c>
    </row>
    <row r="4" ht="59.25" customFormat="1" customHeight="1" s="38">
      <c r="A4" s="28" t="n">
        <v>3</v>
      </c>
      <c r="B4" s="33" t="inlineStr">
        <is>
          <t>PCI_FSV DN 25</t>
        </is>
      </c>
      <c r="C4" s="155" t="inlineStr">
        <is>
          <t>FSV-502/503/504/505</t>
        </is>
      </c>
      <c r="D4" s="155" t="n">
        <v>4</v>
      </c>
      <c r="E4" s="153" t="n">
        <v>1</v>
      </c>
      <c r="F4" s="154" t="inlineStr">
        <is>
          <t xml:space="preserve">   Pneumatic explosion-proof ball valve</t>
        </is>
      </c>
      <c r="G4" s="152" t="inlineStr">
        <is>
          <t>Pg2.5kg/cm2; medium: nitrogen,T＜100℃, DC24V,explosion-proof
Model:- Q641-10C, DN 25,Size;187mm
Make:- Gonkai</t>
        </is>
      </c>
      <c r="H4" s="155" t="n">
        <v>4</v>
      </c>
      <c r="I4" s="155" t="n">
        <v>4</v>
      </c>
      <c r="J4" s="155" t="n"/>
      <c r="K4" s="155" t="n"/>
      <c r="L4" s="155" t="n"/>
      <c r="M4" s="155" t="n"/>
      <c r="N4" s="155" t="n"/>
      <c r="O4" s="219">
        <f>SUM(E4-H4)</f>
        <v/>
      </c>
    </row>
    <row r="5" ht="59.25" customFormat="1" customHeight="1" s="38">
      <c r="A5" s="28" t="n">
        <v>4</v>
      </c>
      <c r="B5" s="33" t="inlineStr">
        <is>
          <t>PCI_FSV DN25 SZ146</t>
        </is>
      </c>
      <c r="C5" s="155" t="inlineStr">
        <is>
          <t>FSV-511/518/525/532</t>
        </is>
      </c>
      <c r="D5" s="155" t="n">
        <v>4</v>
      </c>
      <c r="E5" s="153" t="n">
        <v>1</v>
      </c>
      <c r="F5" s="154" t="inlineStr">
        <is>
          <t xml:space="preserve">   Pneumatic explosion-proof ball valve</t>
        </is>
      </c>
      <c r="G5" s="152" t="inlineStr">
        <is>
          <t>Pg10kg/cm2; medium: nitrogen, T＜100℃, DC24V,explosion-proof
Model:- Q641-10C, DN 25,Size:-146mm
Make:- Gonkai</t>
        </is>
      </c>
      <c r="H5" s="155" t="n">
        <v>0</v>
      </c>
      <c r="I5" s="155" t="n">
        <v>0</v>
      </c>
      <c r="J5" s="155" t="n"/>
      <c r="K5" s="155" t="n"/>
      <c r="L5" s="155" t="n"/>
      <c r="M5" s="155" t="n"/>
      <c r="N5" s="155" t="n"/>
      <c r="O5" s="219">
        <f>SUM(E5-H5)</f>
        <v/>
      </c>
    </row>
    <row r="6" ht="59.25" customFormat="1" customHeight="1" s="38">
      <c r="A6" s="28" t="n">
        <v>5</v>
      </c>
      <c r="B6" s="33" t="inlineStr">
        <is>
          <t>PCI_FSV DN40</t>
        </is>
      </c>
      <c r="C6" s="156" t="inlineStr">
        <is>
          <t>FSV-508/515/522/529/507/521/514/528</t>
        </is>
      </c>
      <c r="D6" s="156" t="n">
        <v>8</v>
      </c>
      <c r="E6" s="157" t="n">
        <v>2</v>
      </c>
      <c r="F6" s="154" t="inlineStr">
        <is>
          <t xml:space="preserve">    Pneumatic explosion-proof ball valve</t>
        </is>
      </c>
      <c r="G6" s="152" t="inlineStr">
        <is>
          <t>Pg10kg/cm2; medium: nitrogen,T＜100℃,DC24V, explosion-proof
Model:- Q641-10C, DN 40,Size-177mm
Make:- Gonkai</t>
        </is>
      </c>
      <c r="H6" s="155" t="n">
        <v>6</v>
      </c>
      <c r="I6" s="155" t="n">
        <v>6</v>
      </c>
      <c r="J6" s="155" t="n"/>
      <c r="K6" s="155" t="n"/>
      <c r="L6" s="155" t="n"/>
      <c r="M6" s="155" t="n"/>
      <c r="N6" s="155" t="n"/>
      <c r="O6" s="219">
        <f>SUM(E6-H6)</f>
        <v/>
      </c>
    </row>
    <row r="7" ht="59.25" customFormat="1" customHeight="1" s="38">
      <c r="A7" s="28" t="n">
        <v>6</v>
      </c>
      <c r="B7" s="33" t="inlineStr">
        <is>
          <t>PCI_FSV DN50</t>
        </is>
      </c>
      <c r="C7" s="156" t="inlineStr">
        <is>
          <t xml:space="preserve">FSV-401/402/403                       PSV-502                  </t>
        </is>
      </c>
      <c r="D7" s="156" t="n">
        <v>4</v>
      </c>
      <c r="E7" s="157" t="n">
        <v>1</v>
      </c>
      <c r="F7" s="158" t="inlineStr">
        <is>
          <t xml:space="preserve">     Pneumatic explosion-proof ball valve</t>
        </is>
      </c>
      <c r="G7" s="152" t="inlineStr">
        <is>
          <t>Pg10kg/cm2; medium: nitrogen, normal temp., control: switch value; DC24V,explosion-proof
Model:- Q641-10C, DN 50,Size-198mm
Make:- Gonkai</t>
        </is>
      </c>
      <c r="H7" s="155" t="n">
        <v>1</v>
      </c>
      <c r="I7" s="155" t="n">
        <v>1</v>
      </c>
      <c r="J7" s="155" t="n"/>
      <c r="K7" s="155" t="n"/>
      <c r="L7" s="155" t="n"/>
      <c r="M7" s="155" t="n"/>
      <c r="N7" s="155" t="n"/>
      <c r="O7" s="219">
        <f>SUM(E7-H7)</f>
        <v/>
      </c>
    </row>
    <row r="8" ht="57" customFormat="1" customHeight="1" s="38">
      <c r="A8" s="28" t="n">
        <v>7</v>
      </c>
      <c r="B8" s="33" t="inlineStr">
        <is>
          <t>PCI_FSV DN100</t>
        </is>
      </c>
      <c r="C8" s="155" t="inlineStr">
        <is>
          <t>FSV-501</t>
        </is>
      </c>
      <c r="D8" s="155" t="n">
        <v>1</v>
      </c>
      <c r="E8" s="153" t="n">
        <v>1</v>
      </c>
      <c r="F8" s="158" t="inlineStr">
        <is>
          <t xml:space="preserve">     Pneumatic explosion-proof ball valve</t>
        </is>
      </c>
      <c r="G8" s="159" t="inlineStr">
        <is>
          <t>Pg2.5kg/cm2; medium: air with dust
T＜100℃, control: switch value; DC24V,explosion-proof
Model:- Q641-10C, DN 100,Size-277mm
Make:- Gonkai</t>
        </is>
      </c>
      <c r="H8" s="155" t="n">
        <v>0</v>
      </c>
      <c r="I8" s="155" t="n">
        <v>0</v>
      </c>
      <c r="J8" s="155" t="n"/>
      <c r="K8" s="155" t="n"/>
      <c r="L8" s="155" t="n"/>
      <c r="M8" s="155" t="n"/>
      <c r="N8" s="155" t="n"/>
      <c r="O8" s="219">
        <f>SUM(E8-H8)</f>
        <v/>
      </c>
    </row>
    <row r="9" ht="59.25" customFormat="1" customHeight="1" s="38">
      <c r="A9" s="28" t="n">
        <v>8</v>
      </c>
      <c r="B9" s="33" t="inlineStr">
        <is>
          <t>PCI_FSV DN 25 SZ180</t>
        </is>
      </c>
      <c r="C9" s="156" t="inlineStr">
        <is>
          <t xml:space="preserve">FSV-512/519/526/533                               </t>
        </is>
      </c>
      <c r="D9" s="156" t="n">
        <v>4</v>
      </c>
      <c r="E9" s="157" t="n">
        <v>1</v>
      </c>
      <c r="F9" s="154" t="inlineStr">
        <is>
          <t xml:space="preserve"> Pneumatci explosion-proof three-way ball valves</t>
        </is>
      </c>
      <c r="G9" s="152" t="inlineStr">
        <is>
          <t>Pg10kg/cm2; medium: nitrogen,T＜100℃,DC24V,explosion-proof
Model:- Q645F-10C, DN 25,Size-180mm
Make:- Gonkai</t>
        </is>
      </c>
      <c r="H9" s="155" t="n">
        <v>3</v>
      </c>
      <c r="I9" s="155" t="n">
        <v>3</v>
      </c>
      <c r="J9" s="155" t="n"/>
      <c r="K9" s="155" t="n"/>
      <c r="L9" s="155" t="n"/>
      <c r="M9" s="155" t="n"/>
      <c r="N9" s="155" t="n"/>
      <c r="O9" s="219">
        <f>SUM(E9-H9)</f>
        <v/>
      </c>
    </row>
    <row r="10" ht="59.25" customFormat="1" customHeight="1" s="38">
      <c r="A10" s="28" t="n">
        <v>9</v>
      </c>
      <c r="B10" s="33" t="inlineStr">
        <is>
          <t>PCI_FSV DN250</t>
        </is>
      </c>
      <c r="C10" s="156" t="inlineStr">
        <is>
          <t xml:space="preserve">FSV-536/537/538/539                              </t>
        </is>
      </c>
      <c r="D10" s="156" t="n">
        <v>4</v>
      </c>
      <c r="E10" s="157" t="n">
        <v>1</v>
      </c>
      <c r="F10" s="154" t="inlineStr">
        <is>
          <t xml:space="preserve"> Pneumatic dome valves </t>
        </is>
      </c>
      <c r="G10" s="152" t="inlineStr">
        <is>
          <t>Pg10kg/cm2; medium: pulverized cial,T＜100℃，
control: switch value; DC24V,explosion-proof
Model:- YDF-10C, DN 250
Make:- Gonkai</t>
        </is>
      </c>
      <c r="H10" s="156" t="n">
        <v>1</v>
      </c>
      <c r="I10" s="156" t="n">
        <v>1</v>
      </c>
      <c r="J10" s="155" t="n"/>
      <c r="K10" s="155" t="n"/>
      <c r="L10" s="155" t="n"/>
      <c r="M10" s="155" t="n"/>
      <c r="N10" s="155" t="n"/>
      <c r="O10" s="219">
        <f>SUM(E10-H10)</f>
        <v/>
      </c>
    </row>
    <row r="11" ht="59.25" customFormat="1" customHeight="1" s="38">
      <c r="A11" s="28" t="n">
        <v>10</v>
      </c>
      <c r="B11" s="33" t="inlineStr">
        <is>
          <t>PCI_PCV DN25</t>
        </is>
      </c>
      <c r="C11" s="156" t="inlineStr">
        <is>
          <t>PCV-503/507/511/515          FCV-501/502/503/504</t>
        </is>
      </c>
      <c r="D11" s="156" t="n">
        <v>8</v>
      </c>
      <c r="E11" s="157" t="n">
        <v>2</v>
      </c>
      <c r="F11" s="154" t="inlineStr">
        <is>
          <t xml:space="preserve">             Film penumatic control valve</t>
        </is>
      </c>
      <c r="G11" s="152" t="inlineStr">
        <is>
          <t>Pg10kg/cm2;medium: nitrogen,T＜100℃,DC24V,explosion-proof
Model:- ZJHP-10C, DN 25,Size-187mm
Make:- Gonkai</t>
        </is>
      </c>
      <c r="H11" s="155" t="n">
        <v>0</v>
      </c>
      <c r="I11" s="155" t="n">
        <v>0</v>
      </c>
      <c r="J11" s="155" t="n"/>
      <c r="K11" s="155" t="n"/>
      <c r="L11" s="155" t="n"/>
      <c r="M11" s="155" t="n"/>
      <c r="N11" s="155" t="n"/>
      <c r="O11" s="219">
        <f>SUM(E11-H11)</f>
        <v/>
      </c>
    </row>
    <row r="12" ht="59.25" customFormat="1" customHeight="1" s="38">
      <c r="A12" s="28" t="n">
        <v>11</v>
      </c>
      <c r="B12" s="33" t="inlineStr">
        <is>
          <t>PCI_PCV DN40 FILM</t>
        </is>
      </c>
      <c r="C12" s="156" t="inlineStr">
        <is>
          <t>PCV-504/508/512/516</t>
        </is>
      </c>
      <c r="D12" s="156" t="n">
        <v>4</v>
      </c>
      <c r="E12" s="157" t="n">
        <v>1</v>
      </c>
      <c r="F12" s="158" t="inlineStr">
        <is>
          <t xml:space="preserve">              Film penumatic control valve</t>
        </is>
      </c>
      <c r="G12" s="152" t="inlineStr">
        <is>
          <t>Pg10kg/cm2; medium: nitrogen,T＜100℃,DC24V,explosion-proof
Model:- ZJHP-10C, DN 40,Size-222mm
Make:- Gonkai</t>
        </is>
      </c>
      <c r="H12" s="155" t="n">
        <v>0</v>
      </c>
      <c r="I12" s="155" t="n">
        <v>0</v>
      </c>
      <c r="J12" s="155" t="n"/>
      <c r="K12" s="155" t="n"/>
      <c r="L12" s="155" t="n"/>
      <c r="M12" s="155" t="n"/>
      <c r="N12" s="155" t="n"/>
      <c r="O12" s="219">
        <f>SUM(E12-H12)</f>
        <v/>
      </c>
    </row>
    <row r="13" ht="59.25" customFormat="1" customHeight="1" s="38">
      <c r="A13" s="28" t="n">
        <v>12</v>
      </c>
      <c r="B13" s="33" t="inlineStr">
        <is>
          <t xml:space="preserve">PCI_PCV DN40 </t>
        </is>
      </c>
      <c r="C13" s="156" t="inlineStr">
        <is>
          <t>PCV-502/506/510/514</t>
        </is>
      </c>
      <c r="D13" s="156" t="n">
        <v>4</v>
      </c>
      <c r="E13" s="157" t="n">
        <v>1</v>
      </c>
      <c r="F13" s="154" t="inlineStr">
        <is>
          <t xml:space="preserve"> Pneumatic explosion-proof control ball valve</t>
        </is>
      </c>
      <c r="G13" s="152" t="inlineStr">
        <is>
          <t>Pg10kg/cm2; medium: nitrogen,T＜100℃,DC24V,explosion-proof
Model:- VQ6T47H-10C, DN 40,Size-112mm
Make:- Gonkai</t>
        </is>
      </c>
      <c r="H13" s="155" t="n">
        <v>1</v>
      </c>
      <c r="I13" s="155" t="n">
        <v>1</v>
      </c>
      <c r="J13" s="155" t="n"/>
      <c r="K13" s="155" t="n"/>
      <c r="L13" s="155" t="n"/>
      <c r="M13" s="155" t="n"/>
      <c r="N13" s="155" t="n"/>
      <c r="O13" s="219">
        <f>SUM(E13-H13)</f>
        <v/>
      </c>
    </row>
    <row r="14" ht="73.5" customFormat="1" customHeight="1" s="38">
      <c r="A14" s="28" t="n">
        <v>13</v>
      </c>
      <c r="B14" s="33" t="inlineStr">
        <is>
          <t>PCI_PCV DN50</t>
        </is>
      </c>
      <c r="C14" s="156" t="inlineStr">
        <is>
          <t>FSV-509/510/516/517/523/ 524/530/531/534/535</t>
        </is>
      </c>
      <c r="D14" s="156" t="n">
        <v>10</v>
      </c>
      <c r="E14" s="157" t="n">
        <v>2</v>
      </c>
      <c r="F14" s="154" t="inlineStr">
        <is>
          <t xml:space="preserve"> Pneumatic explosion-proof wearing-resistance ball valves</t>
        </is>
      </c>
      <c r="G14" s="152" t="inlineStr">
        <is>
          <t xml:space="preserve">Pg10kg/cm2;medium: nitrogen,T＜100℃,DC24V,explosion-proof
Model:- VQ647Y-10C, DN 50,Size-122mm
Make:- Gonkai
</t>
        </is>
      </c>
      <c r="H14" s="155" t="n">
        <v>0</v>
      </c>
      <c r="I14" s="155" t="n">
        <v>0</v>
      </c>
      <c r="J14" s="155" t="n"/>
      <c r="K14" s="155" t="n"/>
      <c r="L14" s="155" t="n"/>
      <c r="M14" s="155" t="n"/>
      <c r="N14" s="155" t="n"/>
      <c r="O14" s="219">
        <f>SUM(E14-H14)</f>
        <v/>
      </c>
    </row>
    <row r="15" ht="59.25" customFormat="1" customHeight="1" s="38">
      <c r="A15" s="28" t="n">
        <v>14</v>
      </c>
      <c r="B15" s="33" t="inlineStr">
        <is>
          <t>PCI_PCV DN 80</t>
        </is>
      </c>
      <c r="C15" s="156" t="inlineStr">
        <is>
          <t>PCV-501/505/509/513</t>
        </is>
      </c>
      <c r="D15" s="156" t="n">
        <v>4</v>
      </c>
      <c r="E15" s="157" t="n">
        <v>1</v>
      </c>
      <c r="F15" s="158" t="inlineStr">
        <is>
          <t xml:space="preserve"> Pneumatic explosion-proof control ball valve</t>
        </is>
      </c>
      <c r="G15" s="152" t="inlineStr">
        <is>
          <t>Pg10kg/cm2; medium: nitrogen,T＜100℃,DC24V,explosion-proof
Model:- VQ6T47H-10C, DN 80,Size:-163mm
Make:- Gonkai</t>
        </is>
      </c>
      <c r="H15" s="155" t="n">
        <v>0</v>
      </c>
      <c r="I15" s="155" t="n">
        <v>0</v>
      </c>
      <c r="J15" s="155" t="n"/>
      <c r="K15" s="155" t="n"/>
      <c r="L15" s="155" t="n"/>
      <c r="M15" s="155" t="n"/>
      <c r="N15" s="155" t="n"/>
      <c r="O15" s="219">
        <f>SUM(E15-H15)</f>
        <v/>
      </c>
    </row>
    <row r="16">
      <c r="D16" s="155">
        <f>SUM(D2:D15)</f>
        <v/>
      </c>
      <c r="E16" s="155" t="n"/>
      <c r="F16" s="155" t="n"/>
      <c r="G16" s="221" t="n"/>
      <c r="H16" s="270" t="n"/>
      <c r="I16" s="223" t="n"/>
      <c r="J16" s="155" t="n"/>
      <c r="K16" s="155" t="n"/>
      <c r="L16" s="155" t="n"/>
      <c r="M16" s="155" t="n"/>
      <c r="N16" s="155" t="n"/>
      <c r="O16" s="218">
        <f>SUM(O2:O15)</f>
        <v/>
      </c>
    </row>
    <row r="17" customFormat="1" s="38">
      <c r="C17" s="160" t="n"/>
      <c r="D17" s="160" t="n"/>
      <c r="E17" s="160" t="n"/>
      <c r="F17" s="160" t="n"/>
      <c r="G17" s="229" t="inlineStr">
        <is>
          <t xml:space="preserve">FSV-506 PNEUMATIC BUTTERFLY VALVE - DN250 </t>
        </is>
      </c>
      <c r="H17" s="229" t="n">
        <v>1</v>
      </c>
      <c r="I17" s="160" t="n"/>
      <c r="J17" s="160" t="n"/>
      <c r="K17" s="160" t="n"/>
      <c r="L17" s="160" t="n"/>
      <c r="M17" s="160" t="n"/>
      <c r="N17" s="160" t="n"/>
    </row>
    <row r="18">
      <c r="G18" s="271" t="inlineStr">
        <is>
          <t>FSV502/511 PNEUMATIC BALL VALVE -DN25</t>
        </is>
      </c>
      <c r="H18" s="271" t="n">
        <v>5</v>
      </c>
    </row>
    <row r="19">
      <c r="G19" s="271" t="inlineStr">
        <is>
          <t>FSV-512 PNEUMATIC  3 WAY BALL VALVE -DN25</t>
        </is>
      </c>
      <c r="H19" s="271" t="n">
        <v>3</v>
      </c>
    </row>
    <row r="20">
      <c r="G20" s="271" t="inlineStr">
        <is>
          <t>FSV-507/508 PNEUMATIC BALL VALVE -DN40</t>
        </is>
      </c>
      <c r="H20" s="271" t="n">
        <v>6</v>
      </c>
    </row>
    <row r="21">
      <c r="G21" s="271" t="inlineStr">
        <is>
          <t>FSV401/402PNEUMATIC BALL VALVE -DN50</t>
        </is>
      </c>
      <c r="H21" s="271" t="n">
        <v>2</v>
      </c>
    </row>
    <row r="22">
      <c r="G22" s="271" t="inlineStr">
        <is>
          <t>FSV-509/535PNEUMATIC BALL VALVE -DN50</t>
        </is>
      </c>
      <c r="H22" s="271" t="n">
        <v>2</v>
      </c>
    </row>
    <row r="23">
      <c r="G23" s="271" t="inlineStr">
        <is>
          <t>FCV-502PNEUMATIC BALL VALVE -DN40</t>
        </is>
      </c>
      <c r="H23" s="271" t="n">
        <v>1</v>
      </c>
    </row>
    <row r="24">
      <c r="G24" s="271" t="inlineStr">
        <is>
          <t>FCV-501 PNEUMATIC BALL VALVE -DN80</t>
        </is>
      </c>
      <c r="H24" s="271" t="n">
        <v>1</v>
      </c>
    </row>
    <row r="25">
      <c r="G25" s="162" t="n"/>
    </row>
  </sheetData>
  <pageMargins left="0.5" right="0.7" top="0.75" bottom="0.75" header="0.3" footer="0.3"/>
  <pageSetup orientation="portrait" scale="4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topLeftCell="A4" workbookViewId="0">
      <selection activeCell="N6" sqref="N6"/>
    </sheetView>
  </sheetViews>
  <sheetFormatPr baseColWidth="8" defaultRowHeight="21"/>
  <cols>
    <col width="7.42578125" customWidth="1" style="185" min="1" max="1"/>
    <col width="25.140625" customWidth="1" style="180" min="2" max="2"/>
    <col width="13.140625" customWidth="1" style="180" min="3" max="3"/>
    <col width="12.5703125" customWidth="1" style="180" min="4" max="4"/>
    <col width="16.140625" customWidth="1" style="180" min="5" max="5"/>
    <col width="31.42578125" customWidth="1" style="180" min="6" max="6"/>
    <col width="13.85546875" customWidth="1" style="181" min="7" max="7"/>
    <col width="6.85546875" customWidth="1" style="180" min="8" max="9"/>
    <col width="7.140625" customWidth="1" style="180" min="10" max="10"/>
    <col width="7.28515625" customWidth="1" style="180" min="11" max="11"/>
    <col width="7.5703125" customWidth="1" style="180" min="12" max="12"/>
    <col width="7.7109375" customWidth="1" style="180" min="13" max="13"/>
    <col width="18" customWidth="1" style="126" min="14" max="14"/>
  </cols>
  <sheetData>
    <row r="1" ht="40.5" customHeight="1" s="126">
      <c r="A1" s="168" t="inlineStr">
        <is>
          <t>SNO</t>
        </is>
      </c>
      <c r="B1" s="168" t="inlineStr">
        <is>
          <t>SHORT DESCRIPTION</t>
        </is>
      </c>
      <c r="C1" s="145" t="inlineStr">
        <is>
          <t xml:space="preserve"> Qty Instld</t>
        </is>
      </c>
      <c r="D1" s="145" t="inlineStr">
        <is>
          <t>Qty Req</t>
        </is>
      </c>
      <c r="E1" s="168" t="inlineStr">
        <is>
          <t>Item</t>
        </is>
      </c>
      <c r="F1" s="168" t="inlineStr">
        <is>
          <t>Specification</t>
        </is>
      </c>
      <c r="G1" s="144" t="inlineStr">
        <is>
          <t>Qty avbl</t>
        </is>
      </c>
      <c r="H1" s="145" t="inlineStr">
        <is>
          <t>JUL</t>
        </is>
      </c>
      <c r="I1" s="145" t="inlineStr">
        <is>
          <t>AUG</t>
        </is>
      </c>
      <c r="J1" s="145" t="inlineStr">
        <is>
          <t>SEP</t>
        </is>
      </c>
      <c r="K1" s="145" t="inlineStr">
        <is>
          <t>OCT</t>
        </is>
      </c>
      <c r="L1" s="145" t="inlineStr">
        <is>
          <t>NOV</t>
        </is>
      </c>
      <c r="M1" s="145" t="inlineStr">
        <is>
          <t>DEC</t>
        </is>
      </c>
      <c r="N1" s="211" t="inlineStr">
        <is>
          <t>Spare to be indent</t>
        </is>
      </c>
    </row>
    <row r="2" ht="59.25" customHeight="1" s="126">
      <c r="A2" s="169" t="n">
        <v>1</v>
      </c>
      <c r="B2" s="146" t="inlineStr">
        <is>
          <t>PCI_BOKE 4M310-08</t>
        </is>
      </c>
      <c r="C2" s="146" t="n">
        <v>39</v>
      </c>
      <c r="D2" s="167" t="n">
        <v>10</v>
      </c>
      <c r="E2" s="170" t="inlineStr">
        <is>
          <t>solenoid valve</t>
        </is>
      </c>
      <c r="F2" s="171" t="inlineStr">
        <is>
          <t>Make - BOKE, Model no-4M310-08, Pressure-0.15-0.8MPa</t>
        </is>
      </c>
      <c r="G2" s="146" t="n">
        <v>10</v>
      </c>
      <c r="H2" s="146" t="n">
        <v>1</v>
      </c>
      <c r="I2" s="147" t="n"/>
      <c r="J2" s="147" t="n"/>
      <c r="K2" s="147" t="n"/>
      <c r="L2" s="147" t="n"/>
      <c r="M2" s="147" t="n"/>
      <c r="N2" s="208">
        <f>SUM(D2-G2)</f>
        <v/>
      </c>
    </row>
    <row r="3" ht="58.5" customHeight="1" s="126">
      <c r="A3" s="165" t="n">
        <v>2</v>
      </c>
      <c r="B3" s="146" t="inlineStr">
        <is>
          <t>PCI_BOKE 4V310-10</t>
        </is>
      </c>
      <c r="C3" s="146" t="n">
        <v>9</v>
      </c>
      <c r="D3" s="167" t="n">
        <v>3</v>
      </c>
      <c r="E3" s="170" t="inlineStr">
        <is>
          <t>solenoid valve</t>
        </is>
      </c>
      <c r="F3" s="171" t="inlineStr">
        <is>
          <t>Make - BOKE, Model no-4V310-10, Pressure-0.15-0.8MPa</t>
        </is>
      </c>
      <c r="G3" s="146" t="n">
        <v>8</v>
      </c>
      <c r="H3" s="146" t="n">
        <v>8</v>
      </c>
      <c r="I3" s="147" t="n"/>
      <c r="J3" s="147" t="n"/>
      <c r="K3" s="147" t="n"/>
      <c r="L3" s="147" t="n"/>
      <c r="M3" s="147" t="n"/>
      <c r="N3" s="208">
        <f>SUM(D3-G3)</f>
        <v/>
      </c>
    </row>
    <row r="4" ht="33.75" customHeight="1" s="126">
      <c r="A4" s="165" t="n">
        <v>3</v>
      </c>
      <c r="B4" s="146" t="inlineStr">
        <is>
          <t>PCI_ZMF-Y-76S</t>
        </is>
      </c>
      <c r="C4" s="146" t="n">
        <v>40</v>
      </c>
      <c r="D4" s="167" t="n">
        <v>10</v>
      </c>
      <c r="E4" s="172" t="inlineStr">
        <is>
          <t>Solenoid Pulse valve for Bag Filter</t>
        </is>
      </c>
      <c r="F4" s="171" t="inlineStr">
        <is>
          <t>Model no-ZMF-Y-76S, Supply Voltage:- 24 VDC</t>
        </is>
      </c>
      <c r="G4" s="146" t="n">
        <v>4</v>
      </c>
      <c r="H4" s="146" t="n">
        <v>3</v>
      </c>
      <c r="I4" s="147" t="n"/>
      <c r="J4" s="147" t="n"/>
      <c r="K4" s="147" t="n"/>
      <c r="L4" s="147" t="n"/>
      <c r="M4" s="147" t="n"/>
      <c r="N4" s="208">
        <f>SUM(D4-G4)</f>
        <v/>
      </c>
    </row>
    <row r="5" ht="81" customHeight="1" s="126">
      <c r="A5" s="185" t="n">
        <v>4</v>
      </c>
      <c r="B5" s="174" t="inlineStr">
        <is>
          <t>PCI_LIFT VALVE</t>
        </is>
      </c>
      <c r="C5" s="175" t="n">
        <v>8</v>
      </c>
      <c r="D5" s="176" t="n">
        <v>2</v>
      </c>
      <c r="E5" s="177" t="inlineStr">
        <is>
          <t>LIFT Valve for Bag filter</t>
        </is>
      </c>
      <c r="F5" s="178" t="inlineStr">
        <is>
          <t>Model- 4v310-10 , Pressure- 1.5-8 kgf/cm2, Make- KUROGANE</t>
        </is>
      </c>
      <c r="G5" s="146" t="n">
        <v>0</v>
      </c>
      <c r="H5" s="146" t="n">
        <v>0</v>
      </c>
      <c r="I5" s="147" t="n"/>
      <c r="J5" s="147" t="n"/>
      <c r="K5" s="147" t="n"/>
      <c r="L5" s="147" t="n"/>
      <c r="M5" s="147" t="n"/>
      <c r="N5" s="208">
        <f>SUM(D5-G5)</f>
        <v/>
      </c>
    </row>
    <row r="6" ht="40.5" customHeight="1" s="126">
      <c r="A6" s="168" t="inlineStr">
        <is>
          <t>SNO</t>
        </is>
      </c>
      <c r="B6" s="168" t="inlineStr">
        <is>
          <t>SHORT DESCRIPTION</t>
        </is>
      </c>
      <c r="C6" s="145" t="inlineStr">
        <is>
          <t xml:space="preserve"> Qty Instld</t>
        </is>
      </c>
      <c r="D6" s="145" t="inlineStr">
        <is>
          <t>Qty Req</t>
        </is>
      </c>
      <c r="E6" s="168" t="inlineStr">
        <is>
          <t>Item</t>
        </is>
      </c>
      <c r="F6" s="179" t="inlineStr">
        <is>
          <t>Specification</t>
        </is>
      </c>
      <c r="G6" s="144" t="inlineStr">
        <is>
          <t>Qty avbl</t>
        </is>
      </c>
      <c r="H6" s="145" t="inlineStr">
        <is>
          <t>JUL</t>
        </is>
      </c>
      <c r="I6" s="145" t="inlineStr">
        <is>
          <t>AUG</t>
        </is>
      </c>
      <c r="J6" s="145" t="inlineStr">
        <is>
          <t>SEP</t>
        </is>
      </c>
      <c r="K6" s="145" t="inlineStr">
        <is>
          <t>OCT</t>
        </is>
      </c>
      <c r="L6" s="145" t="inlineStr">
        <is>
          <t>NOV</t>
        </is>
      </c>
      <c r="M6" s="145" t="inlineStr">
        <is>
          <t>DEC</t>
        </is>
      </c>
      <c r="N6" s="211" t="inlineStr">
        <is>
          <t>Spare to be indent</t>
        </is>
      </c>
    </row>
    <row r="7" ht="182.25" customHeight="1" s="126">
      <c r="A7" s="165" t="n">
        <v>1</v>
      </c>
      <c r="B7" s="146" t="inlineStr">
        <is>
          <t>PCI_POSTNR_YT1000RDi131</t>
        </is>
      </c>
      <c r="C7" s="146" t="n">
        <v>8</v>
      </c>
      <c r="D7" s="167" t="n">
        <v>2</v>
      </c>
      <c r="E7" s="147" t="n"/>
      <c r="F7" s="171" t="inlineStr">
        <is>
          <t>Make- YTC, Model no-YT1000RDi131, Serial No-17654, Explosion Proof:Exiall CT6, Input Signle-4῀20mADC, Ambient temp- -20῀70⁰C, Supply pressure- 1.4῀7.0 kgf/cm2</t>
        </is>
      </c>
      <c r="G7" s="146" t="n">
        <v>0</v>
      </c>
      <c r="H7" s="146" t="n">
        <v>0</v>
      </c>
      <c r="I7" s="147" t="n"/>
      <c r="J7" s="147" t="n"/>
      <c r="K7" s="147" t="n"/>
      <c r="L7" s="147" t="n"/>
      <c r="M7" s="147" t="n"/>
      <c r="N7" s="208">
        <f>SUM(D7-G7)</f>
        <v/>
      </c>
    </row>
    <row r="8" ht="182.25" customHeight="1" s="126">
      <c r="A8" s="165" t="n">
        <v>2</v>
      </c>
      <c r="B8" s="146" t="inlineStr">
        <is>
          <t>PCI_POSITNR_YT1000LS1</t>
        </is>
      </c>
      <c r="C8" s="146" t="n">
        <v>12</v>
      </c>
      <c r="D8" s="167" t="n">
        <v>3</v>
      </c>
      <c r="E8" s="147" t="n"/>
      <c r="F8" s="171" t="inlineStr">
        <is>
          <t>Make- YTC, Model no-YT1000LS1, Serial No-13118410, Explosion Proof:Exiall CT6, Input Signal-4 to 20mADC, Ambient temp-20 to 60⁰C, Supply pressure- 1.4 to 7.0 kgf/cm2</t>
        </is>
      </c>
      <c r="G8" s="146" t="n">
        <v>0</v>
      </c>
      <c r="H8" s="146" t="n">
        <v>0</v>
      </c>
      <c r="I8" s="147" t="n"/>
      <c r="J8" s="147" t="n"/>
      <c r="K8" s="147" t="n"/>
      <c r="L8" s="147" t="n"/>
      <c r="M8" s="147" t="n"/>
      <c r="N8" s="208">
        <f>SUM(D8-G8)</f>
        <v/>
      </c>
    </row>
    <row r="9" s="126">
      <c r="A9" s="185" t="n"/>
      <c r="B9" s="180" t="n"/>
      <c r="C9" s="175">
        <f>SUM(C7:C8)</f>
        <v/>
      </c>
      <c r="D9" s="180" t="n"/>
      <c r="E9" s="180" t="n"/>
      <c r="F9" s="180" t="n"/>
      <c r="G9" s="181" t="n"/>
      <c r="H9" s="180" t="n"/>
      <c r="I9" s="180" t="n"/>
      <c r="J9" s="180" t="n"/>
      <c r="K9" s="180" t="n"/>
      <c r="L9" s="180" t="n"/>
      <c r="M9" s="180" t="n"/>
    </row>
    <row r="10" s="126">
      <c r="A10" s="185" t="n"/>
      <c r="B10" s="180" t="n"/>
      <c r="C10" s="180" t="n"/>
      <c r="D10" s="180" t="n"/>
      <c r="E10" s="180" t="n"/>
      <c r="F10" s="180" t="n"/>
      <c r="G10" s="181" t="n"/>
      <c r="H10" s="180" t="n"/>
      <c r="I10" s="180" t="n"/>
      <c r="J10" s="180" t="n"/>
      <c r="K10" s="180" t="n"/>
      <c r="L10" s="180" t="n"/>
      <c r="M10" s="180" t="n"/>
    </row>
    <row r="11" ht="20.25" customFormat="1" customHeight="1" s="38">
      <c r="A11" s="182" t="n"/>
      <c r="B11" s="185" t="n"/>
      <c r="C11" s="185" t="n"/>
      <c r="D11" s="183" t="n"/>
      <c r="E11" s="184" t="n"/>
      <c r="F11" s="182" t="n"/>
      <c r="G11" s="182" t="n"/>
      <c r="H11" s="182" t="n"/>
      <c r="I11" s="182" t="n"/>
      <c r="J11" s="182" t="n"/>
      <c r="K11" s="182" t="n"/>
      <c r="L11" s="182" t="n"/>
      <c r="M11" s="182" t="n"/>
    </row>
    <row r="12" s="126">
      <c r="A12" s="185" t="n"/>
      <c r="B12" s="180" t="n"/>
      <c r="C12" s="180" t="n"/>
      <c r="D12" s="180" t="n"/>
      <c r="E12" s="180" t="n"/>
      <c r="F12" s="180" t="n"/>
      <c r="G12" s="181" t="n"/>
      <c r="H12" s="180" t="n"/>
      <c r="I12" s="180" t="n"/>
      <c r="J12" s="180" t="n"/>
      <c r="K12" s="180" t="n"/>
      <c r="L12" s="180" t="n"/>
      <c r="M12" s="180" t="n"/>
    </row>
    <row r="13" s="126">
      <c r="A13" s="185" t="n"/>
      <c r="B13" s="180" t="n"/>
      <c r="C13" s="180" t="n"/>
      <c r="D13" s="180" t="n"/>
      <c r="E13" s="180" t="n"/>
      <c r="F13" s="180" t="n"/>
      <c r="G13" s="181" t="n"/>
      <c r="H13" s="180" t="n"/>
      <c r="I13" s="180" t="n"/>
      <c r="J13" s="180" t="n"/>
      <c r="K13" s="180" t="n"/>
      <c r="L13" s="180" t="n"/>
      <c r="M13" s="180" t="n"/>
    </row>
    <row r="14" s="126">
      <c r="A14" s="185" t="n"/>
      <c r="B14" s="180" t="n"/>
      <c r="C14" s="180" t="n"/>
      <c r="D14" s="180" t="n"/>
      <c r="E14" s="180" t="n"/>
      <c r="F14" s="180" t="n"/>
      <c r="G14" s="181" t="n"/>
      <c r="H14" s="180" t="n"/>
      <c r="I14" s="180" t="n"/>
      <c r="J14" s="180" t="n"/>
      <c r="K14" s="180" t="n"/>
      <c r="L14" s="180" t="n"/>
      <c r="M14" s="180" t="n"/>
    </row>
  </sheetData>
  <pageMargins left="0.7" right="0.45" top="0.75" bottom="0.75" header="0.3" footer="0.3"/>
  <pageSetup orientation="portrait" scale="6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workbookViewId="0">
      <selection activeCell="H1" sqref="H1:M3"/>
    </sheetView>
  </sheetViews>
  <sheetFormatPr baseColWidth="8" defaultRowHeight="15"/>
  <cols>
    <col width="5.5703125" customWidth="1" style="36" min="1" max="1"/>
    <col width="24.7109375" customWidth="1" style="126" min="2" max="2"/>
    <col width="29.140625" customWidth="1" style="126" min="6" max="6"/>
    <col width="5.42578125" customWidth="1" style="126" min="8" max="9"/>
    <col width="6.42578125" customWidth="1" style="126" min="10" max="10"/>
    <col width="6.5703125" customWidth="1" style="126" min="11" max="11"/>
    <col width="6.7109375" customWidth="1" style="126" min="12" max="12"/>
    <col width="6.28515625" customWidth="1" style="126" min="13" max="13"/>
  </cols>
  <sheetData>
    <row r="1">
      <c r="A1" s="53" t="inlineStr">
        <is>
          <t>SNO</t>
        </is>
      </c>
      <c r="B1" s="53" t="inlineStr">
        <is>
          <t>SHORT DESCRIPTION</t>
        </is>
      </c>
      <c r="C1" s="123" t="inlineStr">
        <is>
          <t xml:space="preserve"> Qty Instld</t>
        </is>
      </c>
      <c r="D1" s="123" t="inlineStr">
        <is>
          <t>Qty Req</t>
        </is>
      </c>
      <c r="E1" s="53" t="inlineStr">
        <is>
          <t>Item</t>
        </is>
      </c>
      <c r="F1" s="53" t="inlineStr">
        <is>
          <t>Specification</t>
        </is>
      </c>
      <c r="G1" s="122" t="inlineStr">
        <is>
          <t>Qty avbl</t>
        </is>
      </c>
      <c r="H1" s="123" t="inlineStr">
        <is>
          <t>JUL</t>
        </is>
      </c>
      <c r="I1" s="123" t="inlineStr">
        <is>
          <t>AUG</t>
        </is>
      </c>
      <c r="J1" s="123" t="inlineStr">
        <is>
          <t>SEP</t>
        </is>
      </c>
      <c r="K1" s="123" t="inlineStr">
        <is>
          <t>OCT</t>
        </is>
      </c>
      <c r="L1" s="123" t="inlineStr">
        <is>
          <t>NOV</t>
        </is>
      </c>
      <c r="M1" s="123" t="inlineStr">
        <is>
          <t>DEC</t>
        </is>
      </c>
    </row>
    <row r="2" ht="94.5" customHeight="1" s="126">
      <c r="A2" s="29" t="n">
        <v>1</v>
      </c>
      <c r="B2" s="270" t="inlineStr">
        <is>
          <t>PCI_POSTNR_YT1000RDi131</t>
        </is>
      </c>
      <c r="C2" s="270" t="n">
        <v>8</v>
      </c>
      <c r="D2" s="271" t="n">
        <v>2</v>
      </c>
      <c r="E2" s="223" t="n"/>
      <c r="F2" s="29" t="inlineStr">
        <is>
          <t>Make- YTC, Model no-YT1000RDi131, Serial No-17654, Explosion Proof:Exiall CT6, Input Signle-4῀20mADC, Ambient temp- -20῀70⁰C, Supply pressure- 1.4῀7.0 kgf/cm2</t>
        </is>
      </c>
      <c r="G2" s="270" t="n">
        <v>0</v>
      </c>
      <c r="H2" s="223" t="n"/>
      <c r="I2" s="223" t="n"/>
      <c r="J2" s="223" t="n"/>
      <c r="K2" s="223" t="n"/>
      <c r="L2" s="223" t="n"/>
      <c r="M2" s="223" t="n"/>
    </row>
    <row r="3" ht="94.5" customHeight="1" s="126">
      <c r="A3" s="29" t="n">
        <v>2</v>
      </c>
      <c r="B3" s="270" t="inlineStr">
        <is>
          <t>PCI_POSITNR_YT1000LS1</t>
        </is>
      </c>
      <c r="C3" s="270" t="n">
        <v>12</v>
      </c>
      <c r="D3" s="271" t="n">
        <v>3</v>
      </c>
      <c r="E3" s="223" t="n"/>
      <c r="F3" s="29" t="inlineStr">
        <is>
          <t>Make- YTC, Model no-YT1000LS1, Serial No-13118410, Explosion Proof:Exiall CT6, Input Signal-4 to 20mADC, Ambient temp-20 to 60⁰C, Supply pressure- 1.4 to 7.0 kgf/cm2</t>
        </is>
      </c>
      <c r="G3" s="270" t="n">
        <v>0</v>
      </c>
      <c r="H3" s="223" t="n"/>
      <c r="I3" s="223" t="n"/>
      <c r="J3" s="223" t="n"/>
      <c r="K3" s="223" t="n"/>
      <c r="L3" s="223" t="n"/>
      <c r="M3" s="223" t="n"/>
    </row>
    <row r="4">
      <c r="A4" s="36" t="n"/>
      <c r="C4" s="58">
        <f>SUM(C2:C3)</f>
        <v/>
      </c>
    </row>
    <row r="5">
      <c r="A5" s="36" t="n"/>
    </row>
    <row r="6">
      <c r="A6" s="36" t="n"/>
    </row>
    <row r="7">
      <c r="A7" s="36" t="n"/>
    </row>
    <row r="8">
      <c r="A8" s="36" t="n"/>
    </row>
    <row r="9">
      <c r="A9" s="36" t="n"/>
    </row>
    <row r="10">
      <c r="A10" s="36" t="n"/>
    </row>
    <row r="11">
      <c r="A11" s="36" t="n"/>
    </row>
    <row r="12">
      <c r="A12" s="36" t="n"/>
    </row>
    <row r="13">
      <c r="A13" s="36" t="n"/>
    </row>
    <row r="14">
      <c r="A14" s="36" t="n"/>
    </row>
    <row r="15">
      <c r="A15" s="36" t="n"/>
    </row>
    <row r="16">
      <c r="A16" s="36" t="n"/>
    </row>
    <row r="17">
      <c r="A17" s="36" t="n"/>
    </row>
    <row r="18">
      <c r="A18" s="36" t="n"/>
    </row>
    <row r="19">
      <c r="A19" s="36" t="n"/>
    </row>
    <row r="20">
      <c r="A20" s="36" t="n"/>
    </row>
    <row r="21">
      <c r="A21" s="36" t="n"/>
    </row>
    <row r="22">
      <c r="A22" s="36" t="n"/>
    </row>
    <row r="23">
      <c r="A23" s="36" t="n"/>
    </row>
  </sheetData>
  <pageMargins left="0.7" right="0.7" top="0.75" bottom="0.75" header="0.3" footer="0.3"/>
  <pageSetup orientation="landscape" scale="9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topLeftCell="B1" zoomScale="85" zoomScaleNormal="85" workbookViewId="0">
      <selection activeCell="O1" sqref="O1"/>
    </sheetView>
  </sheetViews>
  <sheetFormatPr baseColWidth="8" defaultRowHeight="18.75"/>
  <cols>
    <col width="6.5703125" customWidth="1" style="194" min="1" max="1"/>
    <col width="38.7109375" customWidth="1" style="164" min="2" max="2"/>
    <col width="9.140625" customWidth="1" style="194" min="3" max="4"/>
    <col width="19.28515625" customWidth="1" style="194" min="5" max="5"/>
    <col width="45.7109375" customWidth="1" style="194" min="6" max="6"/>
    <col width="18.85546875" customWidth="1" style="164" min="7" max="7"/>
    <col width="11" customWidth="1" style="164" min="8" max="8"/>
    <col width="8.140625" customWidth="1" style="194" min="9" max="9"/>
    <col width="9.140625" customWidth="1" style="194" min="10" max="14"/>
    <col width="16.85546875" customWidth="1" style="126" min="15" max="15"/>
  </cols>
  <sheetData>
    <row r="1" ht="25.5" customHeight="1" s="126">
      <c r="A1" s="186" t="inlineStr">
        <is>
          <t>SL.NO</t>
        </is>
      </c>
      <c r="B1" s="107" t="inlineStr">
        <is>
          <t>SHORT DESCRIPTION</t>
        </is>
      </c>
      <c r="C1" s="107" t="inlineStr">
        <is>
          <t xml:space="preserve"> Qty Instld</t>
        </is>
      </c>
      <c r="D1" s="107" t="inlineStr">
        <is>
          <t>Qty Req</t>
        </is>
      </c>
      <c r="E1" s="107" t="inlineStr">
        <is>
          <t>TAG NO</t>
        </is>
      </c>
      <c r="F1" s="107" t="inlineStr">
        <is>
          <t>DESCRIPTION</t>
        </is>
      </c>
      <c r="G1" s="107" t="inlineStr">
        <is>
          <t>INSTALATION SITE</t>
        </is>
      </c>
      <c r="H1" s="106" t="inlineStr">
        <is>
          <t>Qty avbl</t>
        </is>
      </c>
      <c r="I1" s="107" t="inlineStr">
        <is>
          <t>JUL</t>
        </is>
      </c>
      <c r="J1" s="107" t="inlineStr">
        <is>
          <t>AUG</t>
        </is>
      </c>
      <c r="K1" s="107" t="inlineStr">
        <is>
          <t>SEP</t>
        </is>
      </c>
      <c r="L1" s="107" t="inlineStr">
        <is>
          <t>OCT</t>
        </is>
      </c>
      <c r="M1" s="107" t="inlineStr">
        <is>
          <t>NOV</t>
        </is>
      </c>
      <c r="N1" s="107" t="inlineStr">
        <is>
          <t>DEC</t>
        </is>
      </c>
      <c r="O1" s="211" t="inlineStr">
        <is>
          <t>Spare to be indent</t>
        </is>
      </c>
    </row>
    <row r="2" ht="187.5" customHeight="1" s="126">
      <c r="A2" s="263" t="n">
        <v>1</v>
      </c>
      <c r="B2" s="263" t="inlineStr">
        <is>
          <t>PCI_LOAD CELL-RTD 4.7T</t>
        </is>
      </c>
      <c r="C2" s="263" t="n">
        <v>12</v>
      </c>
      <c r="D2" s="262" t="n">
        <v>3</v>
      </c>
      <c r="E2" s="275" t="inlineStr">
        <is>
          <t>WT-501,WT-502,WT-503,WT-504</t>
        </is>
      </c>
      <c r="F2" s="114" t="inlineStr">
        <is>
          <t xml:space="preserve">SCHENCK PROCESS Load Cell Type-RTD 4.7T
Accuracy (+/-)0.02% with zero balance
Input Resistance 4480 ohms (+/-50 ohms)
Output Resistance 4010 ohms (+/-50 ohms)
Loadcell Sensitivity 2.85mV/V
Loadcell Excitation Voltage 12 V AC
</t>
        </is>
      </c>
      <c r="G2" s="263" t="inlineStr">
        <is>
          <t>INJECTION VESSEL</t>
        </is>
      </c>
      <c r="H2" s="263" t="n">
        <v>2</v>
      </c>
      <c r="I2" s="263" t="n">
        <v>2</v>
      </c>
      <c r="J2" s="193" t="n"/>
      <c r="K2" s="193" t="n"/>
      <c r="L2" s="193" t="n"/>
      <c r="M2" s="193" t="n"/>
      <c r="N2" s="193" t="n"/>
      <c r="O2" s="208">
        <f>SUM(D2-H2)</f>
        <v/>
      </c>
    </row>
    <row r="3" ht="30" customHeight="1" s="126">
      <c r="A3" s="263" t="n">
        <v>2</v>
      </c>
      <c r="B3" s="263" t="inlineStr">
        <is>
          <t>PCI_LOAD CELL-RTD 68T</t>
        </is>
      </c>
      <c r="C3" s="263" t="n">
        <v>7</v>
      </c>
      <c r="D3" s="262" t="n">
        <v>2</v>
      </c>
      <c r="E3" s="263" t="inlineStr">
        <is>
          <t>WT-301,WT-303</t>
        </is>
      </c>
      <c r="F3" s="259" t="inlineStr">
        <is>
          <t>SCHENCK PROCESS Load Cell Type-RTD 68T
Input Resistance 4480 ohms (+/-50 ohms)
Output Resistance 4010 ohms (+/-50 ohms)
Loadcell Sensitivity 2.85mV/V
Loadcell Excitation Voltage 12 V AC
Accuracy (+/-)0.02% with zero balance</t>
        </is>
      </c>
      <c r="G3" s="263" t="inlineStr">
        <is>
          <t>PCS &amp;FCS</t>
        </is>
      </c>
      <c r="H3" s="263" t="n">
        <v>0</v>
      </c>
      <c r="I3" s="263" t="n">
        <v>0</v>
      </c>
      <c r="J3" s="192" t="n"/>
      <c r="K3" s="192" t="n"/>
      <c r="L3" s="192" t="n"/>
      <c r="M3" s="192" t="n"/>
      <c r="N3" s="192" t="n"/>
      <c r="O3" s="208">
        <f>SUM(D3-H3)</f>
        <v/>
      </c>
    </row>
    <row r="4" ht="78" customHeight="1" s="126">
      <c r="A4" s="281" t="n"/>
      <c r="B4" s="281" t="n"/>
      <c r="C4" s="281" t="n"/>
      <c r="D4" s="281" t="n"/>
      <c r="E4" s="281" t="n"/>
      <c r="F4" s="281" t="n"/>
      <c r="G4" s="281" t="n"/>
      <c r="H4" s="281" t="n"/>
      <c r="I4" s="281" t="n"/>
      <c r="J4" s="281" t="n"/>
      <c r="K4" s="281" t="n"/>
      <c r="L4" s="281" t="n"/>
      <c r="M4" s="281" t="n"/>
      <c r="N4" s="281" t="n"/>
      <c r="O4" s="208">
        <f>SUM(D4-H4)</f>
        <v/>
      </c>
    </row>
    <row r="5" ht="131.25" customHeight="1" s="126">
      <c r="A5" s="263" t="n">
        <v>3</v>
      </c>
      <c r="B5" s="263" t="inlineStr">
        <is>
          <t>PCI_LOAD CELL-PWS 100KG</t>
        </is>
      </c>
      <c r="C5" s="263" t="n">
        <v>2</v>
      </c>
      <c r="D5" s="262" t="n">
        <v>1</v>
      </c>
      <c r="E5" s="263" t="inlineStr">
        <is>
          <t>WT-302</t>
        </is>
      </c>
      <c r="F5" s="114" t="inlineStr">
        <is>
          <t>SCHENCK PROCESS Platform Load Cell, 
Type-PWS 100 kg
Accuracy (+/-) 0.05%
Input Resistance 390 ±10 Ω
Output Resistance 350 ±2 Ω
Loadcell Sensitivity 2 ±0.002 mV/V
Loadcell Excitation Voltage 6 V AC</t>
        </is>
      </c>
      <c r="G5" s="263" t="inlineStr">
        <is>
          <t>WEIGH FEEDER</t>
        </is>
      </c>
      <c r="H5" s="263" t="n">
        <v>0</v>
      </c>
      <c r="I5" s="263" t="n">
        <v>0</v>
      </c>
      <c r="J5" s="193" t="n"/>
      <c r="K5" s="193" t="n"/>
      <c r="L5" s="193" t="n"/>
      <c r="M5" s="193" t="n"/>
      <c r="N5" s="193" t="n"/>
      <c r="O5" s="208">
        <f>SUM(D5-H5)</f>
        <v/>
      </c>
    </row>
    <row r="6" ht="75" customHeight="1" s="126">
      <c r="A6" s="263" t="n">
        <v>4</v>
      </c>
      <c r="B6" s="263" t="inlineStr">
        <is>
          <t>PCI_ENCODER</t>
        </is>
      </c>
      <c r="C6" s="263" t="n">
        <v>1</v>
      </c>
      <c r="D6" s="262" t="n">
        <v>1</v>
      </c>
      <c r="E6" s="263" t="inlineStr">
        <is>
          <t>NA</t>
        </is>
      </c>
      <c r="F6" s="191" t="inlineStr">
        <is>
          <t>SPEED SENSOR TYPE -
Type-FGA 1O IP-67               
EXC VOL-(5-25V)
Cable Length (m)-5mtr</t>
        </is>
      </c>
      <c r="G6" s="281" t="n"/>
      <c r="H6" s="263" t="n">
        <v>0</v>
      </c>
      <c r="I6" s="263" t="n">
        <v>0</v>
      </c>
      <c r="J6" s="193" t="n"/>
      <c r="K6" s="193" t="n"/>
      <c r="L6" s="193" t="n"/>
      <c r="M6" s="193" t="n"/>
      <c r="N6" s="193" t="n"/>
      <c r="O6" s="208">
        <f>SUM(D6-H6)</f>
        <v/>
      </c>
    </row>
    <row r="7" ht="75" customHeight="1" s="126">
      <c r="A7" s="263" t="n">
        <v>5</v>
      </c>
      <c r="B7" s="263" t="inlineStr">
        <is>
          <t>PCI_JAM SWITCH</t>
        </is>
      </c>
      <c r="C7" s="263" t="n">
        <v>22</v>
      </c>
      <c r="D7" s="262" t="n">
        <v>6</v>
      </c>
      <c r="E7" s="263" t="inlineStr">
        <is>
          <t>FS-515 TO FS 536</t>
        </is>
      </c>
      <c r="F7" s="114" t="inlineStr">
        <is>
          <t xml:space="preserve"> MAKE- SWR   FLOW JAM SWITCH, MAKE- SWR  POWER SUPPLY-18 -24V DC/AC, RANGE (0-2M)                      MODEL :89/336/EEC</t>
        </is>
      </c>
      <c r="G7" s="263" t="inlineStr">
        <is>
          <t>MBF1&amp;2</t>
        </is>
      </c>
      <c r="H7" s="263" t="n">
        <v>0</v>
      </c>
      <c r="I7" s="263" t="n">
        <v>0</v>
      </c>
      <c r="J7" s="193" t="n"/>
      <c r="K7" s="193" t="n"/>
      <c r="L7" s="193" t="n"/>
      <c r="M7" s="193" t="n"/>
      <c r="N7" s="193" t="n"/>
      <c r="O7" s="208">
        <f>SUM(D7-H7)</f>
        <v/>
      </c>
    </row>
    <row r="8" ht="206.25" customHeight="1" s="126">
      <c r="A8" s="263" t="n">
        <v>6</v>
      </c>
      <c r="B8" s="263" t="inlineStr">
        <is>
          <t>PCI_COAL FLOW METER</t>
        </is>
      </c>
      <c r="C8" s="263" t="n">
        <v>2</v>
      </c>
      <c r="D8" s="262" t="n">
        <v>1</v>
      </c>
      <c r="E8" s="263" t="inlineStr">
        <is>
          <t>FT-514&amp;FT-513</t>
        </is>
      </c>
      <c r="F8" s="114" t="inlineStr">
        <is>
          <t xml:space="preserve">Provided by power supply/conditioning PCBSFI 15-30VDC, 100mA max.Conduit Connection: (2) 1/2" NPT Detection Range: 0 to 10’ free air Sensitivity: Switch selectable HI/LOW Minimum Velocity: 2.5 ft/sec (762 mm/sec) Output:4-20mA
Process Connection 1-1/4" NPT &amp;DN50 Flange(Seals Adapter)
Pipe diameterΦ63.5×7
</t>
        </is>
      </c>
      <c r="G8" s="275" t="inlineStr">
        <is>
          <t>COAL CONVEYING LINE</t>
        </is>
      </c>
      <c r="H8" s="263" t="n">
        <v>0</v>
      </c>
      <c r="I8" s="263" t="n">
        <v>0</v>
      </c>
      <c r="J8" s="193" t="n"/>
      <c r="K8" s="193" t="n"/>
      <c r="L8" s="193" t="n"/>
      <c r="M8" s="193" t="n"/>
      <c r="N8" s="193" t="n"/>
      <c r="O8" s="208">
        <f>SUM(D8-H8)</f>
        <v/>
      </c>
    </row>
    <row r="9">
      <c r="A9" s="263" t="n"/>
      <c r="B9" s="263" t="inlineStr">
        <is>
          <t>DISOMAT TERSUS CONTROLLER</t>
        </is>
      </c>
      <c r="C9" s="263" t="n">
        <v>6</v>
      </c>
      <c r="D9" s="262" t="n">
        <v>2</v>
      </c>
      <c r="E9" s="263" t="n"/>
      <c r="F9" s="114" t="n"/>
      <c r="G9" s="275" t="n"/>
      <c r="H9" s="263" t="n">
        <v>1</v>
      </c>
      <c r="I9" s="263" t="n">
        <v>1</v>
      </c>
      <c r="J9" s="193" t="n"/>
      <c r="K9" s="193" t="n"/>
      <c r="L9" s="193" t="n"/>
      <c r="M9" s="193" t="n"/>
      <c r="N9" s="193" t="n"/>
      <c r="O9" s="208">
        <f>SUM(D9-H9)</f>
        <v/>
      </c>
    </row>
    <row r="10">
      <c r="A10" s="263" t="n"/>
      <c r="B10" s="263" t="inlineStr">
        <is>
          <t>SHENCKPROCESS WEIGHFEEDER</t>
        </is>
      </c>
      <c r="C10" s="263" t="n">
        <v>1</v>
      </c>
      <c r="D10" s="262" t="n">
        <v>1</v>
      </c>
      <c r="E10" s="263" t="n"/>
      <c r="F10" s="114" t="n"/>
      <c r="G10" s="275" t="n"/>
      <c r="H10" s="263" t="n">
        <v>1</v>
      </c>
      <c r="I10" s="263" t="n">
        <v>1</v>
      </c>
      <c r="J10" s="193" t="n"/>
      <c r="K10" s="193" t="n"/>
      <c r="L10" s="193" t="n"/>
      <c r="M10" s="193" t="n"/>
      <c r="N10" s="193" t="n"/>
      <c r="O10" s="208">
        <f>SUM(D10-H10)</f>
        <v/>
      </c>
    </row>
    <row r="11">
      <c r="A11" s="263" t="n"/>
      <c r="B11" s="263" t="n"/>
      <c r="C11" s="263" t="n"/>
      <c r="D11" s="262" t="n"/>
      <c r="E11" s="263" t="n"/>
      <c r="F11" s="114" t="n"/>
      <c r="G11" s="275" t="n"/>
      <c r="H11" s="263" t="n"/>
      <c r="I11" s="263" t="n"/>
      <c r="J11" s="193" t="n"/>
      <c r="K11" s="193" t="n"/>
      <c r="L11" s="193" t="n"/>
      <c r="M11" s="193" t="n"/>
      <c r="N11" s="193" t="n"/>
      <c r="O11" s="208" t="n"/>
    </row>
    <row r="12">
      <c r="A12" s="193" t="n"/>
      <c r="B12" s="263" t="n"/>
      <c r="C12" s="192">
        <f>SUM(C2:C8)</f>
        <v/>
      </c>
      <c r="D12" s="193" t="n"/>
      <c r="E12" s="193" t="n"/>
      <c r="F12" s="193" t="n"/>
      <c r="G12" s="263" t="n"/>
      <c r="H12" s="263" t="n"/>
      <c r="I12" s="193" t="n"/>
      <c r="J12" s="193" t="n"/>
      <c r="K12" s="193" t="n"/>
      <c r="L12" s="193" t="n"/>
      <c r="M12" s="193" t="n"/>
      <c r="N12" s="193" t="n"/>
      <c r="O12" s="208">
        <f>SUM(D12-H12)</f>
        <v/>
      </c>
    </row>
    <row r="13">
      <c r="C13" s="194" t="n"/>
      <c r="D13" s="194" t="n"/>
      <c r="E13" s="194" t="n"/>
    </row>
    <row r="14">
      <c r="C14" s="194" t="n"/>
      <c r="D14" s="194" t="n"/>
      <c r="E14" s="194" t="n"/>
    </row>
    <row r="15">
      <c r="C15" s="194" t="n"/>
      <c r="D15" s="194" t="n"/>
      <c r="E15" s="194" t="n"/>
    </row>
    <row r="16">
      <c r="C16" s="194" t="n"/>
      <c r="D16" s="194" t="n"/>
      <c r="E16" s="194" t="n"/>
    </row>
    <row r="17">
      <c r="C17" s="194" t="n"/>
      <c r="D17" s="194" t="n"/>
      <c r="E17" s="194" t="n"/>
    </row>
    <row r="18">
      <c r="C18" s="194" t="n"/>
      <c r="D18" s="194" t="n"/>
      <c r="E18" s="194" t="n"/>
    </row>
  </sheetData>
  <mergeCells count="15">
    <mergeCell ref="G5:G6"/>
    <mergeCell ref="K3:K4"/>
    <mergeCell ref="L3:L4"/>
    <mergeCell ref="A3:A4"/>
    <mergeCell ref="C3:C4"/>
    <mergeCell ref="M3:M4"/>
    <mergeCell ref="N3:N4"/>
    <mergeCell ref="E3:E4"/>
    <mergeCell ref="I3:I4"/>
    <mergeCell ref="D3:D4"/>
    <mergeCell ref="J3:J4"/>
    <mergeCell ref="F3:F4"/>
    <mergeCell ref="G3:G4"/>
    <mergeCell ref="B3:B4"/>
    <mergeCell ref="H3:H4"/>
  </mergeCells>
  <pageMargins left="0.63" right="0.7" top="0.75" bottom="0.75" header="0.3" footer="0.3"/>
  <pageSetup orientation="portrait" scale="44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topLeftCell="A16" zoomScale="70" zoomScaleNormal="70" workbookViewId="0">
      <selection activeCell="O25" sqref="O25"/>
    </sheetView>
  </sheetViews>
  <sheetFormatPr baseColWidth="8" defaultRowHeight="15"/>
  <cols>
    <col width="6.5703125" customWidth="1" style="126" min="1" max="1"/>
    <col width="34.5703125" customWidth="1" style="126" min="2" max="2"/>
    <col width="19.28515625" customWidth="1" style="126" min="5" max="5"/>
    <col width="58.85546875" customWidth="1" style="126" min="6" max="6"/>
    <col width="38" customWidth="1" style="126" min="7" max="7"/>
    <col width="23.28515625" customWidth="1" style="126" min="15" max="15"/>
  </cols>
  <sheetData>
    <row r="1" ht="25.5" customHeight="1" s="126">
      <c r="A1" s="54" t="inlineStr">
        <is>
          <t>SL.NO</t>
        </is>
      </c>
      <c r="B1" s="123" t="inlineStr">
        <is>
          <t>SHORT DESCRIPTION</t>
        </is>
      </c>
      <c r="C1" s="123" t="inlineStr">
        <is>
          <t xml:space="preserve"> Qty Instld</t>
        </is>
      </c>
      <c r="D1" s="123" t="inlineStr">
        <is>
          <t>Qty Req</t>
        </is>
      </c>
      <c r="E1" s="123" t="inlineStr">
        <is>
          <t>TAG NO</t>
        </is>
      </c>
      <c r="F1" s="123" t="inlineStr">
        <is>
          <t>DESCRIPTION</t>
        </is>
      </c>
      <c r="G1" s="54" t="inlineStr">
        <is>
          <t>INSTALATION SITE</t>
        </is>
      </c>
      <c r="H1" s="122" t="inlineStr">
        <is>
          <t>Qty avbl</t>
        </is>
      </c>
      <c r="I1" s="123" t="inlineStr">
        <is>
          <t>JUL</t>
        </is>
      </c>
      <c r="J1" s="123" t="inlineStr">
        <is>
          <t>AUG</t>
        </is>
      </c>
      <c r="K1" s="123" t="inlineStr">
        <is>
          <t>SEP</t>
        </is>
      </c>
      <c r="L1" s="123" t="inlineStr">
        <is>
          <t>OCT</t>
        </is>
      </c>
      <c r="M1" s="123" t="inlineStr">
        <is>
          <t>NOV</t>
        </is>
      </c>
      <c r="N1" s="123" t="inlineStr">
        <is>
          <t>DEC</t>
        </is>
      </c>
      <c r="O1" s="211" t="inlineStr">
        <is>
          <t>Spare to be indent</t>
        </is>
      </c>
    </row>
    <row r="2" ht="45" customHeight="1" s="126">
      <c r="A2" s="270" t="n">
        <v>1</v>
      </c>
      <c r="B2" s="22" t="inlineStr">
        <is>
          <t>PCI_ANALYSER_SV_1/4</t>
        </is>
      </c>
      <c r="C2" s="270" t="inlineStr">
        <is>
          <t>8(2x4)</t>
        </is>
      </c>
      <c r="D2" s="271" t="n">
        <v>2</v>
      </c>
      <c r="E2" s="270" t="n"/>
      <c r="F2" s="22" t="inlineStr">
        <is>
          <t>SOLENOID VALVE, 2 WAY MOC: SS Size: 1/4” Power Supply: 220VAC, 50 Hz, Make-ASCO
Cat No- SCX5202C220V</t>
        </is>
      </c>
      <c r="G2" s="6" t="inlineStr">
        <is>
          <t>SOV-104,106</t>
        </is>
      </c>
      <c r="H2" s="270" t="n">
        <v>0</v>
      </c>
      <c r="I2" s="270" t="n">
        <v>0</v>
      </c>
      <c r="J2" s="223" t="n"/>
      <c r="K2" s="223" t="n"/>
      <c r="L2" s="223" t="n"/>
      <c r="M2" s="223" t="n"/>
      <c r="N2" s="223" t="n"/>
      <c r="O2" s="208">
        <f>SUM(D2-H2)</f>
        <v/>
      </c>
    </row>
    <row r="3" ht="60" customHeight="1" s="126">
      <c r="A3" s="270" t="n">
        <v>2</v>
      </c>
      <c r="B3" s="22" t="inlineStr">
        <is>
          <t>PCI_ANALYSER_SV_1/2</t>
        </is>
      </c>
      <c r="C3" s="270" t="inlineStr">
        <is>
          <t>24(6x4)</t>
        </is>
      </c>
      <c r="D3" s="271" t="n">
        <v>6</v>
      </c>
      <c r="E3" s="270" t="n"/>
      <c r="F3" s="40" t="inlineStr">
        <is>
          <t xml:space="preserve">SOLENOID VALVE, 2 WAY MOC: BRASS Size: 1/2” Power Supply: 220VAC, 50 Hz
SCX8210C094MB
</t>
        </is>
      </c>
      <c r="G3" s="68" t="inlineStr">
        <is>
          <t xml:space="preserve">SV101/102/ 103/105/10 6/107
</t>
        </is>
      </c>
      <c r="H3" s="270" t="n">
        <v>6</v>
      </c>
      <c r="I3" s="270" t="n">
        <v>5</v>
      </c>
      <c r="J3" s="223" t="n"/>
      <c r="K3" s="223" t="n"/>
      <c r="L3" s="223" t="n"/>
      <c r="M3" s="223" t="n"/>
      <c r="N3" s="223" t="n"/>
      <c r="O3" s="208">
        <f>SUM(D3-H3)</f>
        <v/>
      </c>
    </row>
    <row r="4" ht="120" customHeight="1" s="126">
      <c r="A4" s="270" t="n">
        <v>3</v>
      </c>
      <c r="B4" s="248" t="inlineStr">
        <is>
          <t>PCI_ANALYSER_GASCOOLER</t>
        </is>
      </c>
      <c r="C4" s="270" t="inlineStr">
        <is>
          <t>4(4x1)</t>
        </is>
      </c>
      <c r="D4" s="271" t="n">
        <v>1</v>
      </c>
      <c r="E4" s="270" t="n"/>
      <c r="F4" s="22" t="inlineStr">
        <is>
          <t xml:space="preserve">SAMPLE GAS COOLER Dual Gas Path SS coils Power Supply: 220VAC, 50Hz,Mains- 230V AC 50 HZ
Model No- C.G.EK.  - 5
Gas charge- 134-A
Super Refrigeration Industries.
Com No-B042069B
Including Temperature sensor
</t>
        </is>
      </c>
      <c r="G4" s="270" t="inlineStr">
        <is>
          <t>GC01, abb approved</t>
        </is>
      </c>
      <c r="H4" s="270" t="n">
        <v>0</v>
      </c>
      <c r="I4" s="270" t="n">
        <v>1</v>
      </c>
      <c r="J4" s="223" t="n"/>
      <c r="K4" s="223" t="n"/>
      <c r="L4" s="223" t="n"/>
      <c r="M4" s="223" t="n"/>
      <c r="N4" s="223" t="n"/>
      <c r="O4" s="208">
        <f>SUM(D4-H4)</f>
        <v/>
      </c>
    </row>
    <row r="5" ht="90" customHeight="1" s="126">
      <c r="A5" s="39" t="n">
        <v>4</v>
      </c>
      <c r="B5" s="248" t="inlineStr">
        <is>
          <t>PCI_ANALYSER_PERISTALTIC_PUMP</t>
        </is>
      </c>
      <c r="C5" s="270" t="inlineStr">
        <is>
          <t>8(4x2)</t>
        </is>
      </c>
      <c r="D5" s="271" t="n">
        <v>2</v>
      </c>
      <c r="E5" s="270" t="n"/>
      <c r="F5" s="22" t="inlineStr">
        <is>
          <t xml:space="preserve"> PERISTALTIC PUMP Power Supply: 220VAC, 50 Hz,Make- ASF Thomas
POWER-5.5w
S3;40 DEG- 2 MIN ON/2 MIN OFF
REF S. NnO.-70300001
</t>
        </is>
      </c>
      <c r="G5" s="248" t="inlineStr">
        <is>
          <t>PP01</t>
        </is>
      </c>
      <c r="H5" s="270" t="n">
        <v>2</v>
      </c>
      <c r="I5" s="270" t="n">
        <v>4</v>
      </c>
      <c r="J5" s="223" t="n"/>
      <c r="K5" s="223" t="n"/>
      <c r="L5" s="223" t="n"/>
      <c r="M5" s="223" t="n"/>
      <c r="N5" s="223" t="n"/>
      <c r="O5" s="208">
        <f>SUM(D5-H5)</f>
        <v/>
      </c>
    </row>
    <row r="6" ht="30" customHeight="1" s="126">
      <c r="A6" s="270" t="n">
        <v>5</v>
      </c>
      <c r="B6" s="22" t="inlineStr">
        <is>
          <t>PCI_BV_1/4</t>
        </is>
      </c>
      <c r="C6" s="270" t="inlineStr">
        <is>
          <t>12(4x3)</t>
        </is>
      </c>
      <c r="D6" s="271" t="n">
        <v>3</v>
      </c>
      <c r="E6" s="270" t="n"/>
      <c r="F6" s="22" t="inlineStr">
        <is>
          <t xml:space="preserve"> 2 Way Ball Valve, SS316, 1/4 ”- Make- Baldota.
</t>
        </is>
      </c>
      <c r="G6" s="66" t="inlineStr">
        <is>
          <t>BV01,BV02,BV04</t>
        </is>
      </c>
      <c r="H6" s="270" t="n">
        <v>0</v>
      </c>
      <c r="I6" s="270" t="n">
        <v>0</v>
      </c>
      <c r="J6" s="223" t="n"/>
      <c r="K6" s="223" t="n"/>
      <c r="L6" s="223" t="n"/>
      <c r="M6" s="223" t="n"/>
      <c r="N6" s="223" t="n"/>
      <c r="O6" s="208">
        <f>SUM(D6-H6)</f>
        <v/>
      </c>
    </row>
    <row r="7" ht="45" customHeight="1" s="126">
      <c r="A7" s="270" t="n">
        <v>6</v>
      </c>
      <c r="B7" s="19" t="inlineStr">
        <is>
          <t>PCI_SV_3WAY_1/4</t>
        </is>
      </c>
      <c r="C7" s="270" t="inlineStr">
        <is>
          <t>8(4x2)</t>
        </is>
      </c>
      <c r="D7" s="271" t="n"/>
      <c r="E7" s="270" t="n"/>
      <c r="F7" s="40" t="inlineStr">
        <is>
          <t>SOLENOID VALVE, 3 WAY MOC: SS Size: 1/4” Power Supply: 220VAC, 50 Hz, Make- ASCO
CAT NO- SCX8320A201V</t>
        </is>
      </c>
      <c r="G7" s="67" t="inlineStr">
        <is>
          <t>SV01/SV02</t>
        </is>
      </c>
      <c r="H7" s="270" t="n">
        <v>0</v>
      </c>
      <c r="I7" s="270" t="n">
        <v>0</v>
      </c>
      <c r="J7" s="223" t="n"/>
      <c r="K7" s="223" t="n"/>
      <c r="L7" s="223" t="n"/>
      <c r="M7" s="223" t="n"/>
      <c r="N7" s="223" t="n"/>
      <c r="O7" s="208">
        <f>SUM(D7-H7)</f>
        <v/>
      </c>
    </row>
    <row r="8">
      <c r="A8" s="270" t="n">
        <v>7</v>
      </c>
      <c r="B8" s="248" t="inlineStr">
        <is>
          <t>PCI_BV_5WAY_1/4</t>
        </is>
      </c>
      <c r="C8" s="270" t="inlineStr">
        <is>
          <t>4(1x4)</t>
        </is>
      </c>
      <c r="D8" s="271" t="n"/>
      <c r="E8" s="270" t="n"/>
      <c r="F8" s="22" t="inlineStr">
        <is>
          <t xml:space="preserve"> 5 Way Ball Valve, SS316, ¼ ", ABB Vendor approved- </t>
        </is>
      </c>
      <c r="G8" s="270" t="inlineStr">
        <is>
          <t>BV03</t>
        </is>
      </c>
      <c r="H8" s="270" t="n">
        <v>0</v>
      </c>
      <c r="I8" s="270" t="n">
        <v>0</v>
      </c>
      <c r="J8" s="223" t="n"/>
      <c r="K8" s="223" t="n"/>
      <c r="L8" s="223" t="n"/>
      <c r="M8" s="223" t="n"/>
      <c r="N8" s="223" t="n"/>
      <c r="O8" s="208">
        <f>SUM(D8-H8)</f>
        <v/>
      </c>
    </row>
    <row r="9" ht="75" customHeight="1" s="126">
      <c r="A9" s="39" t="n">
        <v>8</v>
      </c>
      <c r="B9" s="248" t="inlineStr">
        <is>
          <t>PCI_ANALYZER_PUMP</t>
        </is>
      </c>
      <c r="C9" s="270" t="inlineStr">
        <is>
          <t>8(4x2)</t>
        </is>
      </c>
      <c r="D9" s="271" t="n">
        <v>2</v>
      </c>
      <c r="E9" s="270" t="n"/>
      <c r="F9" s="22" t="inlineStr">
        <is>
          <t xml:space="preserve">SAMPLE &amp; BYPASS PUMP Capacity: 280 LPH Power Supply: 220VAC, 50 Hz, Make- knf
Type- PM31272-86
Power- 55W,I-0.6A.
</t>
        </is>
      </c>
      <c r="G9" s="248" t="inlineStr">
        <is>
          <t>MP01, MP02</t>
        </is>
      </c>
      <c r="H9" s="270" t="n">
        <v>2</v>
      </c>
      <c r="I9" s="270" t="n">
        <v>2</v>
      </c>
      <c r="J9" s="223" t="n"/>
      <c r="K9" s="223" t="n"/>
      <c r="L9" s="223" t="n"/>
      <c r="M9" s="223" t="n"/>
      <c r="N9" s="223" t="n"/>
      <c r="O9" s="208">
        <f>SUM(D9-H9)</f>
        <v/>
      </c>
    </row>
    <row r="10">
      <c r="A10" s="270" t="n">
        <v>9</v>
      </c>
      <c r="B10" s="269" t="inlineStr">
        <is>
          <t>PCI_GAS_FLOW_METER</t>
        </is>
      </c>
      <c r="C10" s="270" t="inlineStr">
        <is>
          <t>4(4x1)</t>
        </is>
      </c>
      <c r="D10" s="271" t="n">
        <v>1</v>
      </c>
      <c r="E10" s="270" t="n"/>
      <c r="F10" s="286" t="inlineStr">
        <is>
          <t xml:space="preserve">GLASS TUBE FLOWMETER WITH P&amp;F MAKE RING SENSOR UNIT Range: 7-70 LPH Size: ¼”, Make- PLACKA
Model no- GA- 10
</t>
        </is>
      </c>
      <c r="G10" s="268" t="inlineStr">
        <is>
          <t>FM01</t>
        </is>
      </c>
      <c r="H10" s="270" t="n">
        <v>0</v>
      </c>
      <c r="I10" s="270" t="n"/>
      <c r="J10" s="223" t="n"/>
      <c r="K10" s="223" t="n"/>
      <c r="L10" s="223" t="n"/>
      <c r="M10" s="223" t="n"/>
      <c r="N10" s="223" t="n"/>
      <c r="O10" s="208">
        <f>SUM(D10-H10)</f>
        <v/>
      </c>
    </row>
    <row r="11" ht="39" customHeight="1" s="126">
      <c r="A11" s="281" t="n"/>
      <c r="B11" s="281" t="n"/>
      <c r="C11" s="281" t="n"/>
      <c r="D11" s="281" t="n"/>
      <c r="E11" s="281" t="n"/>
      <c r="F11" s="281" t="n"/>
      <c r="G11" s="281" t="n"/>
      <c r="H11" s="270" t="n">
        <v>0</v>
      </c>
      <c r="I11" s="270" t="n">
        <v>0</v>
      </c>
      <c r="J11" s="223" t="n"/>
      <c r="K11" s="223" t="n"/>
      <c r="L11" s="223" t="n"/>
      <c r="M11" s="223" t="n"/>
      <c r="N11" s="223" t="n"/>
      <c r="O11" s="208">
        <f>SUM(D11-H11)</f>
        <v/>
      </c>
    </row>
    <row r="12" ht="45" customHeight="1" s="126">
      <c r="A12" s="270" t="n">
        <v>10</v>
      </c>
      <c r="B12" s="22" t="inlineStr">
        <is>
          <t>PCI_ANALYZER_SWITCHAMPLIFIER</t>
        </is>
      </c>
      <c r="C12" s="270" t="inlineStr">
        <is>
          <t>4(4x1)</t>
        </is>
      </c>
      <c r="D12" s="271" t="n">
        <v>1</v>
      </c>
      <c r="E12" s="270" t="n"/>
      <c r="F12" s="22" t="inlineStr">
        <is>
          <t xml:space="preserve">SWITCHING AMPLIFIER (For low Flow Alarm) Power Supply: 24VDC
</t>
        </is>
      </c>
      <c r="G12" s="66" t="inlineStr">
        <is>
          <t>SA01</t>
        </is>
      </c>
      <c r="H12" s="270" t="n">
        <v>0</v>
      </c>
      <c r="I12" s="270" t="n">
        <v>0</v>
      </c>
      <c r="J12" s="223" t="n"/>
      <c r="K12" s="223" t="n"/>
      <c r="L12" s="223" t="n"/>
      <c r="M12" s="223" t="n"/>
      <c r="N12" s="223" t="n"/>
      <c r="O12" s="208">
        <f>SUM(D12-H12)</f>
        <v/>
      </c>
    </row>
    <row r="13" ht="30" customHeight="1" s="126">
      <c r="A13" s="270" t="n">
        <v>11</v>
      </c>
      <c r="B13" s="19" t="inlineStr">
        <is>
          <t>PCI_ANALYZER_COND_MONITOR</t>
        </is>
      </c>
      <c r="C13" s="270" t="inlineStr">
        <is>
          <t>4(4x1)</t>
        </is>
      </c>
      <c r="D13" s="271" t="n">
        <v>1</v>
      </c>
      <c r="E13" s="270" t="n"/>
      <c r="F13" s="40" t="inlineStr">
        <is>
          <t>CONDENSATE MONITOR with membrane Filter papers, ABB Vendor approved</t>
        </is>
      </c>
      <c r="G13" s="6" t="inlineStr">
        <is>
          <t>CM01</t>
        </is>
      </c>
      <c r="H13" s="270" t="n">
        <v>0</v>
      </c>
      <c r="I13" s="270" t="n">
        <v>0</v>
      </c>
      <c r="J13" s="223" t="n"/>
      <c r="K13" s="223" t="n"/>
      <c r="L13" s="223" t="n"/>
      <c r="M13" s="223" t="n"/>
      <c r="N13" s="223" t="n"/>
      <c r="O13" s="208">
        <f>SUM(D13-H13)</f>
        <v/>
      </c>
    </row>
    <row r="14" ht="90" customHeight="1" s="126">
      <c r="A14" s="270" t="n">
        <v>12</v>
      </c>
      <c r="B14" s="248" t="inlineStr">
        <is>
          <t>PCI_ANALZER_SU</t>
        </is>
      </c>
      <c r="C14" s="270" t="inlineStr">
        <is>
          <t>4(4x1)</t>
        </is>
      </c>
      <c r="D14" s="271" t="n">
        <v>1</v>
      </c>
      <c r="E14" s="270" t="n"/>
      <c r="F14" s="22" t="inlineStr">
        <is>
          <t xml:space="preserve">SWITCHING UNIT (For Condensate alarm) Power Supply: 220VAC, 50 Hz
E.L.B.
ER 144/A
Make- ABB
</t>
        </is>
      </c>
      <c r="G14" s="270" t="inlineStr">
        <is>
          <t>SU01</t>
        </is>
      </c>
      <c r="H14" s="270" t="n">
        <v>0</v>
      </c>
      <c r="I14" s="270" t="n">
        <v>0</v>
      </c>
      <c r="J14" s="223" t="n"/>
      <c r="K14" s="223" t="n"/>
      <c r="L14" s="223" t="n"/>
      <c r="M14" s="223" t="n"/>
      <c r="N14" s="223" t="n"/>
      <c r="O14" s="208">
        <f>SUM(D14-H14)</f>
        <v/>
      </c>
    </row>
    <row r="15" ht="105" customHeight="1" s="126">
      <c r="A15" s="39" t="n">
        <v>13</v>
      </c>
      <c r="B15" s="248" t="inlineStr">
        <is>
          <t>PCI_ANALZER_PLC</t>
        </is>
      </c>
      <c r="C15" s="270" t="inlineStr">
        <is>
          <t>4(4x1)</t>
        </is>
      </c>
      <c r="D15" s="271" t="inlineStr">
        <is>
          <t>1 Set</t>
        </is>
      </c>
      <c r="E15" s="270" t="n"/>
      <c r="F15" s="22" t="inlineStr">
        <is>
          <t xml:space="preserve">PLC (AC500 SERIES) With CPU(PM-554-R) And Necessary I/O Cards(DO-571) Power Supply: 24VDC
PL01- CPU PM554-RP-AC 8DI 24VDC 6DO-R 240VAC 2A -01 No.
Module- DO 571-8DO-R 240VAC 2A- 1No.
                   DO 571  8DO-R 240VAC 2A- 1No.
Make- ABB
</t>
        </is>
      </c>
      <c r="G15" s="248" t="inlineStr">
        <is>
          <t>PL01</t>
        </is>
      </c>
      <c r="H15" s="270" t="n">
        <v>0</v>
      </c>
      <c r="I15" s="270" t="n">
        <v>1</v>
      </c>
      <c r="J15" s="223" t="n"/>
      <c r="K15" s="223" t="n"/>
      <c r="L15" s="223" t="n"/>
      <c r="M15" s="223" t="n"/>
      <c r="N15" s="223" t="n"/>
      <c r="O15" s="208">
        <f>SUM(D15-H15)</f>
        <v/>
      </c>
    </row>
    <row r="16" ht="135" customHeight="1" s="126">
      <c r="A16" s="39" t="n">
        <v>14</v>
      </c>
      <c r="B16" s="248" t="inlineStr">
        <is>
          <t>PCI_ANALYSER_HMI\</t>
        </is>
      </c>
      <c r="C16" s="270" t="inlineStr">
        <is>
          <t>4(4x1)</t>
        </is>
      </c>
      <c r="D16" s="271" t="n">
        <v>1</v>
      </c>
      <c r="E16" s="270" t="n"/>
      <c r="F16" s="22" t="inlineStr">
        <is>
          <t xml:space="preserve">HMI DISPLAY, 4.3” Power Supply: 24VDC With PLC interconnecting cable
Part no- 1sAP504100R0001
24V- 0.25A 
Class 2
V-100701A07006140
Ref S no- AA4001005000022478AA
Make- ABB
</t>
        </is>
      </c>
      <c r="G16" s="248" t="inlineStr">
        <is>
          <t>HD01</t>
        </is>
      </c>
      <c r="H16" s="270" t="n">
        <v>0</v>
      </c>
      <c r="I16" s="270" t="n">
        <v>0</v>
      </c>
      <c r="J16" s="223" t="n"/>
      <c r="K16" s="223" t="n"/>
      <c r="L16" s="223" t="n"/>
      <c r="M16" s="223" t="n"/>
      <c r="N16" s="223" t="n"/>
      <c r="O16" s="208">
        <f>SUM(D16-H16)</f>
        <v/>
      </c>
    </row>
    <row r="17" ht="135" customHeight="1" s="126">
      <c r="A17" s="39" t="n">
        <v>15</v>
      </c>
      <c r="B17" s="248" t="inlineStr">
        <is>
          <t>PCI_ANALSZER_CONTROLLER\</t>
        </is>
      </c>
      <c r="C17" s="270" t="inlineStr">
        <is>
          <t>4(4x1)</t>
        </is>
      </c>
      <c r="D17" s="271" t="n">
        <v>1</v>
      </c>
      <c r="E17" s="270" t="n"/>
      <c r="F17" s="22" t="inlineStr">
        <is>
          <t xml:space="preserve">EASYLINE ANALYZER (EL3000 series) Power Supply: 220 VAC, 50Hz Output: 4 - 20 mA,  Per Component With DI/DO card With 19” Rack Mounted Housing Enclosure: IP20.
With Uras 26 Module Measuring Component 1: CO Measuring Range 1: 0 To 2 Vol%
With Magnos 28 Module Measuring Component 1: O2 Measuring Range 1: 0 To 21 Vol%
MAke- ABB
</t>
        </is>
      </c>
      <c r="G17" s="248" t="inlineStr">
        <is>
          <t>GA01</t>
        </is>
      </c>
      <c r="H17" s="270" t="n">
        <v>1</v>
      </c>
      <c r="I17" s="270" t="n">
        <v>0</v>
      </c>
      <c r="J17" s="223" t="n"/>
      <c r="K17" s="223" t="n"/>
      <c r="L17" s="223" t="n"/>
      <c r="M17" s="223" t="n"/>
      <c r="N17" s="223" t="n"/>
      <c r="O17" s="208">
        <f>SUM(D17-H17)</f>
        <v/>
      </c>
    </row>
    <row r="18" ht="120" customHeight="1" s="126">
      <c r="A18" s="39" t="n">
        <v>16</v>
      </c>
      <c r="B18" s="248" t="inlineStr">
        <is>
          <t>PCI_ANALYZER_PROXY_DETECTOR</t>
        </is>
      </c>
      <c r="C18" s="270" t="n">
        <v>4</v>
      </c>
      <c r="D18" s="271" t="n">
        <v>1</v>
      </c>
      <c r="E18" s="270" t="n"/>
      <c r="F18" s="269" t="inlineStr">
        <is>
          <t xml:space="preserve"> MTL5516C SWITCH/ PROXIMITY DETECTOR INTERFACE 2-channel, with line fault detection
Response time: 10ms maximum 10ms maximum Contact rating (Safe Area): 10W, 0.5A,  35V dc 250V ac, 2A, cosØ &gt;0.7, 40V dc, 2A, resistive load Contact rating (Zone 2): 10W, 0.5A,  35V dc 35V, 2A, 100VA.
MAke-Eaton Electric Limited, 
</t>
        </is>
      </c>
      <c r="G18" s="248" t="n"/>
      <c r="H18" s="270" t="n">
        <v>0</v>
      </c>
      <c r="I18" s="270" t="n">
        <v>0</v>
      </c>
      <c r="J18" s="223" t="n"/>
      <c r="K18" s="223" t="n"/>
      <c r="L18" s="223" t="n"/>
      <c r="M18" s="223" t="n"/>
      <c r="N18" s="223" t="n"/>
      <c r="O18" s="208">
        <f>SUM(D18-H18)</f>
        <v/>
      </c>
    </row>
    <row r="19" ht="90" customHeight="1" s="126">
      <c r="A19" s="39" t="n">
        <v>17</v>
      </c>
      <c r="B19" s="248" t="inlineStr">
        <is>
          <t>PCI_ALALYZER_TIC</t>
        </is>
      </c>
      <c r="C19" s="270" t="inlineStr">
        <is>
          <t>8(4x2)</t>
        </is>
      </c>
      <c r="D19" s="271" t="n">
        <v>2</v>
      </c>
      <c r="E19" s="270" t="n"/>
      <c r="F19" s="269" t="inlineStr">
        <is>
          <t>Dixell XR03CX 
XR03CX- 5Noco
LIFDBXB5AA
T-60 Deg C
R.H.-20-85 %
Probe- 3.5 VA Max- NTC</t>
        </is>
      </c>
      <c r="G19" s="248" t="n"/>
      <c r="H19" s="270" t="n">
        <v>0</v>
      </c>
      <c r="I19" s="270" t="n">
        <v>0</v>
      </c>
      <c r="J19" s="223" t="n"/>
      <c r="K19" s="223" t="n"/>
      <c r="L19" s="223" t="n"/>
      <c r="M19" s="223" t="n"/>
      <c r="N19" s="223" t="n"/>
      <c r="O19" s="208">
        <f>SUM(D19-H19)</f>
        <v/>
      </c>
    </row>
    <row r="20" ht="18.75" customHeight="1" s="126">
      <c r="A20" s="270" t="n">
        <v>18</v>
      </c>
      <c r="B20" s="263" t="inlineStr">
        <is>
          <t>ceramic filter</t>
        </is>
      </c>
      <c r="C20" s="270" t="n">
        <v>8</v>
      </c>
      <c r="D20" s="270" t="n">
        <v>4</v>
      </c>
      <c r="E20" s="270" t="n"/>
      <c r="F20" s="22" t="inlineStr">
        <is>
          <t>ceramic filter</t>
        </is>
      </c>
      <c r="G20" s="248" t="n"/>
      <c r="H20" s="270" t="n">
        <v>4</v>
      </c>
      <c r="I20" s="270" t="n">
        <v>4</v>
      </c>
      <c r="J20" s="223" t="n"/>
      <c r="K20" s="223" t="n"/>
      <c r="L20" s="223" t="n"/>
      <c r="M20" s="223" t="n"/>
      <c r="N20" s="223" t="n"/>
      <c r="O20" s="208">
        <f>SUM(D20-H20)</f>
        <v/>
      </c>
    </row>
    <row r="21" ht="18.75" customHeight="1" s="126">
      <c r="A21" s="270" t="n">
        <v>19</v>
      </c>
      <c r="B21" s="263" t="inlineStr">
        <is>
          <t xml:space="preserve">probe o ring </t>
        </is>
      </c>
      <c r="C21" s="270" t="n">
        <v>8</v>
      </c>
      <c r="D21" s="270" t="n">
        <v>10</v>
      </c>
      <c r="E21" s="270" t="n"/>
      <c r="F21" s="263" t="inlineStr">
        <is>
          <t xml:space="preserve">probe o ring </t>
        </is>
      </c>
      <c r="G21" s="248" t="n"/>
      <c r="H21" s="270" t="n">
        <v>0</v>
      </c>
      <c r="I21" s="270" t="n">
        <v>2</v>
      </c>
      <c r="J21" s="223" t="n"/>
      <c r="K21" s="223" t="n"/>
      <c r="L21" s="223" t="n"/>
      <c r="M21" s="223" t="n"/>
      <c r="N21" s="223" t="n"/>
      <c r="O21" s="208">
        <f>SUM(D21-H21)</f>
        <v/>
      </c>
    </row>
    <row r="22" ht="18.75" customHeight="1" s="126">
      <c r="A22" s="270" t="n">
        <v>20</v>
      </c>
      <c r="B22" s="263" t="inlineStr">
        <is>
          <t>probe filter</t>
        </is>
      </c>
      <c r="C22" s="270" t="n">
        <v>4</v>
      </c>
      <c r="D22" s="270" t="n">
        <v>50</v>
      </c>
      <c r="E22" s="270" t="n"/>
      <c r="F22" s="263" t="inlineStr">
        <is>
          <t>probe filter</t>
        </is>
      </c>
      <c r="G22" s="248" t="n"/>
      <c r="H22" s="270" t="n">
        <v>0</v>
      </c>
      <c r="I22" s="270" t="n">
        <v>0</v>
      </c>
      <c r="J22" s="223" t="n"/>
      <c r="K22" s="223" t="n"/>
      <c r="L22" s="223" t="n"/>
      <c r="M22" s="223" t="n"/>
      <c r="N22" s="223" t="n"/>
      <c r="O22" s="208">
        <f>SUM(D22-H22)</f>
        <v/>
      </c>
    </row>
    <row r="23">
      <c r="A23" s="270" t="n">
        <v>21</v>
      </c>
      <c r="B23" s="270" t="inlineStr">
        <is>
          <t>GLASSWOOL FILTER</t>
        </is>
      </c>
      <c r="C23" s="270" t="n">
        <v>8</v>
      </c>
      <c r="D23" s="270" t="n">
        <v>8</v>
      </c>
      <c r="E23" s="270" t="n"/>
      <c r="F23" s="22" t="n"/>
      <c r="G23" s="248" t="n"/>
      <c r="H23" s="270" t="n">
        <v>2</v>
      </c>
      <c r="I23" s="270" t="n">
        <v>2</v>
      </c>
      <c r="J23" s="223" t="n"/>
      <c r="K23" s="223" t="n"/>
      <c r="L23" s="223" t="n"/>
      <c r="M23" s="223" t="n"/>
      <c r="N23" s="223" t="n"/>
      <c r="O23" s="208">
        <f>SUM(D23-H23)</f>
        <v/>
      </c>
    </row>
    <row r="24">
      <c r="A24" s="162" t="n"/>
      <c r="B24" s="162" t="n"/>
      <c r="C24" s="162" t="n"/>
      <c r="D24" s="162" t="n"/>
      <c r="E24" s="162" t="n"/>
      <c r="F24" s="63" t="n"/>
      <c r="G24" s="105" t="n"/>
    </row>
    <row r="25">
      <c r="A25" s="39" t="n"/>
      <c r="B25" s="162" t="n"/>
      <c r="C25" s="162" t="n"/>
      <c r="D25" s="162" t="n"/>
      <c r="E25" s="162" t="n"/>
      <c r="F25" s="63" t="n"/>
      <c r="G25" s="105" t="n"/>
    </row>
    <row r="26">
      <c r="A26" s="39" t="n"/>
      <c r="B26" s="162" t="n"/>
      <c r="C26" s="162" t="n"/>
      <c r="D26" s="162" t="n"/>
      <c r="E26" s="162" t="n"/>
      <c r="F26" s="63" t="n"/>
      <c r="G26" s="105" t="n"/>
    </row>
    <row r="27">
      <c r="A27" s="39" t="n"/>
      <c r="B27" s="162" t="n"/>
      <c r="C27" s="162" t="n"/>
      <c r="D27" s="162" t="n"/>
      <c r="E27" s="162" t="n"/>
      <c r="F27" s="63" t="n"/>
      <c r="G27" s="105" t="n"/>
    </row>
    <row r="28">
      <c r="A28" s="39" t="n"/>
      <c r="B28" s="162" t="n"/>
      <c r="C28" s="162" t="n"/>
      <c r="D28" s="162" t="n"/>
      <c r="E28" s="162" t="n"/>
      <c r="F28" s="63" t="n"/>
      <c r="G28" s="105" t="n"/>
    </row>
    <row r="29">
      <c r="A29" s="39" t="n"/>
      <c r="B29" s="162" t="n"/>
      <c r="C29" s="162" t="n"/>
      <c r="D29" s="162" t="n"/>
      <c r="E29" s="162" t="n"/>
      <c r="F29" s="63" t="n"/>
      <c r="G29" s="105" t="n"/>
    </row>
    <row r="30">
      <c r="A30" s="39" t="n"/>
      <c r="B30" s="162" t="n"/>
      <c r="C30" s="162" t="n"/>
      <c r="D30" s="162" t="n"/>
      <c r="E30" s="162" t="n"/>
      <c r="F30" s="63" t="n"/>
      <c r="G30" s="105" t="n"/>
    </row>
    <row r="31">
      <c r="A31" s="39" t="n"/>
      <c r="B31" s="162" t="n"/>
      <c r="C31" s="162" t="n"/>
      <c r="D31" s="162" t="n"/>
      <c r="E31" s="162" t="n"/>
      <c r="F31" s="63" t="n"/>
      <c r="G31" s="105" t="n"/>
    </row>
    <row r="32">
      <c r="A32" s="39" t="n"/>
      <c r="B32" s="162" t="n"/>
      <c r="C32" s="162" t="n"/>
      <c r="D32" s="162" t="n"/>
      <c r="E32" s="162" t="n"/>
      <c r="F32" s="63" t="n"/>
      <c r="G32" s="105" t="n"/>
    </row>
    <row r="33">
      <c r="A33" s="39" t="n"/>
      <c r="B33" s="162" t="n"/>
      <c r="C33" s="162" t="n"/>
      <c r="D33" s="162" t="n"/>
      <c r="E33" s="162" t="n"/>
      <c r="F33" s="63" t="n"/>
      <c r="G33" s="105" t="n"/>
    </row>
    <row r="34">
      <c r="A34" s="39" t="n"/>
      <c r="B34" s="162" t="n"/>
      <c r="C34" s="162" t="n"/>
      <c r="D34" s="162" t="n"/>
      <c r="E34" s="162" t="n"/>
      <c r="F34" s="63" t="n"/>
      <c r="G34" s="105" t="n"/>
    </row>
    <row r="35">
      <c r="A35" s="39" t="n"/>
      <c r="B35" s="162" t="n"/>
      <c r="C35" s="162" t="n"/>
      <c r="D35" s="162" t="n"/>
      <c r="E35" s="162" t="n"/>
      <c r="F35" s="63" t="n"/>
      <c r="G35" s="105" t="n"/>
    </row>
    <row r="63">
      <c r="F63" s="39" t="n"/>
    </row>
  </sheetData>
  <mergeCells count="7">
    <mergeCell ref="D10:D11"/>
    <mergeCell ref="F10:F11"/>
    <mergeCell ref="A10:A11"/>
    <mergeCell ref="C10:C11"/>
    <mergeCell ref="B10:B11"/>
    <mergeCell ref="E10:E11"/>
    <mergeCell ref="G10:G11"/>
  </mergeCells>
  <pageMargins left="0.7" right="0.7" top="0.75" bottom="0.75" header="0.28" footer="0.3"/>
  <pageSetup orientation="portrait" scale="39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137"/>
  <sheetViews>
    <sheetView workbookViewId="0">
      <selection activeCell="A2" sqref="A1:J1048576"/>
    </sheetView>
  </sheetViews>
  <sheetFormatPr baseColWidth="8" defaultRowHeight="18.75"/>
  <cols>
    <col width="9.140625" customWidth="1" style="194" min="1" max="1"/>
    <col width="86.42578125" customWidth="1" style="194" min="2" max="2"/>
    <col width="14" customWidth="1" style="194" min="3" max="3"/>
    <col width="22" customWidth="1" style="194" min="4" max="4"/>
    <col width="9.140625" customWidth="1" style="194" min="5" max="10"/>
  </cols>
  <sheetData>
    <row r="1">
      <c r="A1" s="287" t="inlineStr">
        <is>
          <t>SPARES IN PCI PLANT</t>
        </is>
      </c>
      <c r="B1" s="288" t="n"/>
      <c r="C1" s="288" t="n"/>
      <c r="D1" s="288" t="n"/>
      <c r="E1" s="288" t="n"/>
      <c r="F1" s="288" t="n"/>
      <c r="G1" s="288" t="n"/>
      <c r="H1" s="288" t="n"/>
      <c r="I1" s="288" t="n"/>
      <c r="J1" s="289" t="n"/>
    </row>
    <row r="2">
      <c r="A2" s="195" t="inlineStr">
        <is>
          <t>SL no</t>
        </is>
      </c>
      <c r="B2" s="196" t="inlineStr">
        <is>
          <t>Description</t>
        </is>
      </c>
      <c r="C2" s="196" t="inlineStr">
        <is>
          <t>Qty</t>
        </is>
      </c>
      <c r="D2" s="197" t="inlineStr">
        <is>
          <t>Location</t>
        </is>
      </c>
      <c r="E2" s="107" t="inlineStr">
        <is>
          <t>JUL</t>
        </is>
      </c>
      <c r="F2" s="107" t="inlineStr">
        <is>
          <t>AUG</t>
        </is>
      </c>
      <c r="G2" s="107" t="inlineStr">
        <is>
          <t>SEP</t>
        </is>
      </c>
      <c r="H2" s="107" t="inlineStr">
        <is>
          <t>OCT</t>
        </is>
      </c>
      <c r="I2" s="107" t="inlineStr">
        <is>
          <t>NOV</t>
        </is>
      </c>
      <c r="J2" s="107" t="inlineStr">
        <is>
          <t>DEC</t>
        </is>
      </c>
    </row>
    <row r="3">
      <c r="A3" s="198" t="n">
        <v>1</v>
      </c>
      <c r="B3" s="263" t="inlineStr">
        <is>
          <t>THERMOCOUPLE</t>
        </is>
      </c>
      <c r="C3" s="263" t="n">
        <v>1</v>
      </c>
      <c r="D3" s="275" t="inlineStr">
        <is>
          <t>RACK-1 ANALYSER ROOM</t>
        </is>
      </c>
      <c r="E3" s="193" t="n"/>
      <c r="F3" s="193" t="n"/>
      <c r="G3" s="193" t="n"/>
      <c r="H3" s="193" t="n"/>
      <c r="I3" s="193" t="n"/>
      <c r="J3" s="193" t="n"/>
    </row>
    <row r="4">
      <c r="A4" s="198" t="n">
        <v>2</v>
      </c>
      <c r="B4" s="263" t="inlineStr">
        <is>
          <t>RTD</t>
        </is>
      </c>
      <c r="C4" s="263" t="n">
        <v>6</v>
      </c>
      <c r="D4" s="283" t="n"/>
      <c r="E4" s="193" t="n"/>
      <c r="F4" s="193" t="n"/>
      <c r="G4" s="193" t="n"/>
      <c r="H4" s="193" t="n"/>
      <c r="I4" s="193" t="n"/>
      <c r="J4" s="193" t="n"/>
    </row>
    <row r="5">
      <c r="A5" s="198" t="n">
        <v>3</v>
      </c>
      <c r="B5" s="263" t="inlineStr">
        <is>
          <t xml:space="preserve">CAT6 CABLE </t>
        </is>
      </c>
      <c r="C5" s="263" t="inlineStr">
        <is>
          <t>2 BOX</t>
        </is>
      </c>
      <c r="D5" s="283" t="n"/>
      <c r="E5" s="193" t="n"/>
      <c r="F5" s="193" t="n"/>
      <c r="G5" s="193" t="n"/>
      <c r="H5" s="193" t="n"/>
      <c r="I5" s="193" t="n"/>
      <c r="J5" s="193" t="n"/>
    </row>
    <row r="6">
      <c r="A6" s="198" t="n">
        <v>4</v>
      </c>
      <c r="B6" s="263" t="inlineStr">
        <is>
          <t>LPBS JB</t>
        </is>
      </c>
      <c r="C6" s="263" t="n">
        <v>1</v>
      </c>
      <c r="D6" s="283" t="n"/>
      <c r="E6" s="193" t="n"/>
      <c r="F6" s="193" t="n"/>
      <c r="G6" s="193" t="n"/>
      <c r="H6" s="193" t="n"/>
      <c r="I6" s="193" t="n"/>
      <c r="J6" s="193" t="n"/>
    </row>
    <row r="7">
      <c r="A7" s="198" t="n">
        <v>5</v>
      </c>
      <c r="B7" s="263" t="inlineStr">
        <is>
          <t>BAGFILTER  DIAPHGRAM SOV</t>
        </is>
      </c>
      <c r="C7" s="263" t="n">
        <v>4</v>
      </c>
      <c r="D7" s="283" t="n"/>
      <c r="E7" s="193" t="n"/>
      <c r="F7" s="193" t="n"/>
      <c r="G7" s="193" t="n"/>
      <c r="H7" s="193" t="n"/>
      <c r="I7" s="193" t="n"/>
      <c r="J7" s="193" t="n"/>
    </row>
    <row r="8">
      <c r="A8" s="198" t="n">
        <v>6</v>
      </c>
      <c r="B8" s="263" t="inlineStr">
        <is>
          <t>HOOTER WITH RED LIGHT</t>
        </is>
      </c>
      <c r="C8" s="263" t="n">
        <v>2</v>
      </c>
      <c r="D8" s="283" t="n"/>
      <c r="E8" s="193" t="n"/>
      <c r="F8" s="193" t="n"/>
      <c r="G8" s="193" t="n"/>
      <c r="H8" s="193" t="n"/>
      <c r="I8" s="193" t="n"/>
      <c r="J8" s="193" t="n"/>
    </row>
    <row r="9">
      <c r="A9" s="198" t="n">
        <v>7</v>
      </c>
      <c r="B9" s="263" t="inlineStr">
        <is>
          <t>MICROWAVE SOLIDS FLOW MONITORS</t>
        </is>
      </c>
      <c r="C9" s="263" t="n">
        <v>2</v>
      </c>
      <c r="D9" s="283" t="n"/>
      <c r="E9" s="193" t="n"/>
      <c r="F9" s="193" t="n"/>
      <c r="G9" s="193" t="n"/>
      <c r="H9" s="193" t="n"/>
      <c r="I9" s="193" t="n"/>
      <c r="J9" s="193" t="n"/>
    </row>
    <row r="10">
      <c r="A10" s="198" t="n">
        <v>8</v>
      </c>
      <c r="B10" s="263" t="inlineStr">
        <is>
          <t>CHINESSE SMALL -JB</t>
        </is>
      </c>
      <c r="C10" s="263" t="n">
        <v>4</v>
      </c>
      <c r="D10" s="283" t="n"/>
      <c r="E10" s="193" t="n"/>
      <c r="F10" s="193" t="n"/>
      <c r="G10" s="193" t="n"/>
      <c r="H10" s="193" t="n"/>
      <c r="I10" s="193" t="n"/>
      <c r="J10" s="193" t="n"/>
    </row>
    <row r="11">
      <c r="A11" s="198" t="n">
        <v>9</v>
      </c>
      <c r="B11" s="263" t="inlineStr">
        <is>
          <t>CHINESSE BIG- JB</t>
        </is>
      </c>
      <c r="C11" s="263" t="n">
        <v>2</v>
      </c>
      <c r="D11" s="283" t="n"/>
      <c r="E11" s="193" t="n"/>
      <c r="F11" s="193" t="n"/>
      <c r="G11" s="193" t="n"/>
      <c r="H11" s="193" t="n"/>
      <c r="I11" s="193" t="n"/>
      <c r="J11" s="193" t="n"/>
    </row>
    <row r="12">
      <c r="A12" s="198" t="n">
        <v>10</v>
      </c>
      <c r="B12" s="263" t="inlineStr">
        <is>
          <t>8MM BALL VALVE</t>
        </is>
      </c>
      <c r="C12" s="263" t="n">
        <v>13</v>
      </c>
      <c r="D12" s="283" t="n"/>
      <c r="E12" s="193" t="n"/>
      <c r="F12" s="193" t="n"/>
      <c r="G12" s="193" t="n"/>
      <c r="H12" s="193" t="n"/>
      <c r="I12" s="193" t="n"/>
      <c r="J12" s="193" t="n"/>
    </row>
    <row r="13">
      <c r="A13" s="198" t="n">
        <v>11</v>
      </c>
      <c r="B13" s="263" t="inlineStr">
        <is>
          <t>3 WAY MANIFOLD</t>
        </is>
      </c>
      <c r="C13" s="263" t="n">
        <v>19</v>
      </c>
      <c r="D13" s="283" t="n"/>
      <c r="E13" s="193" t="n"/>
      <c r="F13" s="193" t="n"/>
      <c r="G13" s="193" t="n"/>
      <c r="H13" s="193" t="n"/>
      <c r="I13" s="193" t="n"/>
      <c r="J13" s="193" t="n"/>
    </row>
    <row r="14">
      <c r="A14" s="198" t="n">
        <v>12</v>
      </c>
      <c r="B14" s="263" t="inlineStr">
        <is>
          <t>1/2" BALL VALVE</t>
        </is>
      </c>
      <c r="C14" s="263" t="n">
        <v>1</v>
      </c>
      <c r="D14" s="281" t="n"/>
      <c r="E14" s="193" t="n"/>
      <c r="F14" s="193" t="n"/>
      <c r="G14" s="193" t="n"/>
      <c r="H14" s="193" t="n"/>
      <c r="I14" s="193" t="n"/>
      <c r="J14" s="193" t="n"/>
    </row>
    <row r="15">
      <c r="A15" s="195" t="inlineStr">
        <is>
          <t>SL no</t>
        </is>
      </c>
      <c r="B15" s="196" t="inlineStr">
        <is>
          <t>Description</t>
        </is>
      </c>
      <c r="C15" s="196" t="inlineStr">
        <is>
          <t>Qty</t>
        </is>
      </c>
      <c r="D15" s="197" t="inlineStr">
        <is>
          <t>Location</t>
        </is>
      </c>
      <c r="E15" s="193" t="n"/>
      <c r="F15" s="193" t="n"/>
      <c r="G15" s="193" t="n"/>
      <c r="H15" s="193" t="n"/>
      <c r="I15" s="193" t="n"/>
      <c r="J15" s="193" t="n"/>
    </row>
    <row r="16">
      <c r="A16" s="198" t="n">
        <v>1</v>
      </c>
      <c r="B16" s="263" t="inlineStr">
        <is>
          <t>DOME VALVE ACTUATOR</t>
        </is>
      </c>
      <c r="C16" s="263" t="n">
        <v>1</v>
      </c>
      <c r="D16" s="275" t="inlineStr">
        <is>
          <t xml:space="preserve"> RACK- 2 ANALYSER ROOM</t>
        </is>
      </c>
      <c r="E16" s="193" t="n"/>
      <c r="F16" s="193" t="n"/>
      <c r="G16" s="193" t="n"/>
      <c r="H16" s="193" t="n"/>
      <c r="I16" s="193" t="n"/>
      <c r="J16" s="193" t="n"/>
    </row>
    <row r="17">
      <c r="A17" s="198" t="n">
        <v>2</v>
      </c>
      <c r="B17" s="263" t="inlineStr">
        <is>
          <t>PULLCORD SWITCH FOR CONVEYOR</t>
        </is>
      </c>
      <c r="C17" s="263" t="n">
        <v>2</v>
      </c>
      <c r="D17" s="283" t="n"/>
      <c r="E17" s="193" t="n"/>
      <c r="F17" s="193" t="n"/>
      <c r="G17" s="193" t="n"/>
      <c r="H17" s="193" t="n"/>
      <c r="I17" s="193" t="n"/>
      <c r="J17" s="193" t="n"/>
    </row>
    <row r="18">
      <c r="A18" s="198" t="n">
        <v>3</v>
      </c>
      <c r="B18" s="263" t="inlineStr">
        <is>
          <t>BELTSWAY SWITCH FOR CONVEYOR</t>
        </is>
      </c>
      <c r="C18" s="263" t="n">
        <v>2</v>
      </c>
      <c r="D18" s="283" t="n"/>
      <c r="E18" s="193" t="n"/>
      <c r="F18" s="193" t="n"/>
      <c r="G18" s="193" t="n"/>
      <c r="H18" s="193" t="n"/>
      <c r="I18" s="193" t="n"/>
      <c r="J18" s="193" t="n"/>
    </row>
    <row r="19">
      <c r="A19" s="198" t="n">
        <v>4</v>
      </c>
      <c r="B19" s="263" t="inlineStr">
        <is>
          <t>CO TRANSMITTER</t>
        </is>
      </c>
      <c r="C19" s="263" t="n">
        <v>2</v>
      </c>
      <c r="D19" s="283" t="n"/>
      <c r="E19" s="193" t="n"/>
      <c r="F19" s="193" t="n"/>
      <c r="G19" s="193" t="n"/>
      <c r="H19" s="193" t="n"/>
      <c r="I19" s="193" t="n"/>
      <c r="J19" s="193" t="n"/>
    </row>
    <row r="20">
      <c r="A20" s="198" t="n">
        <v>5</v>
      </c>
      <c r="B20" s="263" t="inlineStr">
        <is>
          <t>O2 TRANSMITTER</t>
        </is>
      </c>
      <c r="C20" s="263" t="n">
        <v>1</v>
      </c>
      <c r="D20" s="283" t="n"/>
      <c r="E20" s="193" t="n"/>
      <c r="F20" s="193" t="n"/>
      <c r="G20" s="193" t="n"/>
      <c r="H20" s="193" t="n"/>
      <c r="I20" s="193" t="n"/>
      <c r="J20" s="193" t="n"/>
    </row>
    <row r="21">
      <c r="A21" s="198" t="n">
        <v>6</v>
      </c>
      <c r="B21" s="263" t="inlineStr">
        <is>
          <t>PATCH KIT</t>
        </is>
      </c>
      <c r="C21" s="263" t="inlineStr">
        <is>
          <t>1 BOX</t>
        </is>
      </c>
      <c r="D21" s="283" t="n"/>
      <c r="E21" s="193" t="n"/>
      <c r="F21" s="193" t="n"/>
      <c r="G21" s="193" t="n"/>
      <c r="H21" s="193" t="n"/>
      <c r="I21" s="193" t="n"/>
      <c r="J21" s="193" t="n"/>
    </row>
    <row r="22">
      <c r="A22" s="198" t="n">
        <v>7</v>
      </c>
      <c r="B22" s="263" t="inlineStr">
        <is>
          <t>NOTIFIER (FDA SYSTEM)</t>
        </is>
      </c>
      <c r="C22" s="263" t="n">
        <v>2</v>
      </c>
      <c r="D22" s="283" t="n"/>
      <c r="E22" s="193" t="n"/>
      <c r="F22" s="193" t="n"/>
      <c r="G22" s="193" t="n"/>
      <c r="H22" s="193" t="n"/>
      <c r="I22" s="193" t="n"/>
      <c r="J22" s="193" t="n"/>
    </row>
    <row r="23">
      <c r="A23" s="198" t="n">
        <v>8</v>
      </c>
      <c r="B23" s="263" t="inlineStr">
        <is>
          <t>NOTIFIER CONTROL UNIT (FDA SYSTEM)</t>
        </is>
      </c>
      <c r="C23" s="263" t="n">
        <v>7</v>
      </c>
      <c r="D23" s="283" t="n"/>
      <c r="E23" s="193" t="n"/>
      <c r="F23" s="193" t="n"/>
      <c r="G23" s="193" t="n"/>
      <c r="H23" s="193" t="n"/>
      <c r="I23" s="193" t="n"/>
      <c r="J23" s="193" t="n"/>
    </row>
    <row r="24">
      <c r="A24" s="198" t="n">
        <v>9</v>
      </c>
      <c r="B24" s="263" t="inlineStr">
        <is>
          <t>SMALL JB (FDA SYSTEM)</t>
        </is>
      </c>
      <c r="C24" s="263" t="n">
        <v>2</v>
      </c>
      <c r="D24" s="283" t="n"/>
      <c r="E24" s="193" t="n"/>
      <c r="F24" s="193" t="n"/>
      <c r="G24" s="193" t="n"/>
      <c r="H24" s="193" t="n"/>
      <c r="I24" s="193" t="n"/>
      <c r="J24" s="193" t="n"/>
    </row>
    <row r="25">
      <c r="A25" s="198" t="n">
        <v>10</v>
      </c>
      <c r="B25" s="263" t="inlineStr">
        <is>
          <t>FIRE DETECTOR  (FDA SYSTEM)</t>
        </is>
      </c>
      <c r="C25" s="263" t="n">
        <v>15</v>
      </c>
      <c r="D25" s="283" t="n"/>
      <c r="E25" s="193" t="n"/>
      <c r="F25" s="193" t="n"/>
      <c r="G25" s="193" t="n"/>
      <c r="H25" s="193" t="n"/>
      <c r="I25" s="193" t="n"/>
      <c r="J25" s="193" t="n"/>
    </row>
    <row r="26">
      <c r="A26" s="198" t="n">
        <v>11</v>
      </c>
      <c r="B26" s="263" t="inlineStr">
        <is>
          <t>MICROWAVE SOLIDS FLOW MONITORS</t>
        </is>
      </c>
      <c r="C26" s="263" t="n">
        <v>2</v>
      </c>
      <c r="D26" s="283" t="n"/>
      <c r="E26" s="193" t="n"/>
      <c r="F26" s="193" t="n"/>
      <c r="G26" s="193" t="n"/>
      <c r="H26" s="193" t="n"/>
      <c r="I26" s="193" t="n"/>
      <c r="J26" s="193" t="n"/>
    </row>
    <row r="27">
      <c r="A27" s="198" t="n">
        <v>12</v>
      </c>
      <c r="B27" s="263" t="inlineStr">
        <is>
          <t>ALARM INDICATORS  (FDA SYSTEM)</t>
        </is>
      </c>
      <c r="C27" s="263" t="n">
        <v>4</v>
      </c>
      <c r="D27" s="283" t="n"/>
      <c r="E27" s="193" t="n"/>
      <c r="F27" s="193" t="n"/>
      <c r="G27" s="193" t="n"/>
      <c r="H27" s="193" t="n"/>
      <c r="I27" s="193" t="n"/>
      <c r="J27" s="193" t="n"/>
    </row>
    <row r="28">
      <c r="A28" s="198" t="n">
        <v>13</v>
      </c>
      <c r="B28" s="263" t="inlineStr">
        <is>
          <t>CONTROL CARD (FDA SYSTEM)</t>
        </is>
      </c>
      <c r="C28" s="263" t="n">
        <v>1</v>
      </c>
      <c r="D28" s="283" t="n"/>
      <c r="E28" s="193" t="n"/>
      <c r="F28" s="193" t="n"/>
      <c r="G28" s="193" t="n"/>
      <c r="H28" s="193" t="n"/>
      <c r="I28" s="193" t="n"/>
      <c r="J28" s="193" t="n"/>
    </row>
    <row r="29">
      <c r="A29" s="198" t="n">
        <v>14</v>
      </c>
      <c r="B29" s="263" t="inlineStr">
        <is>
          <t>CONTROL DISPLAY UNIT (FDA SYSTEM)</t>
        </is>
      </c>
      <c r="C29" s="263" t="n">
        <v>1</v>
      </c>
      <c r="D29" s="283" t="n"/>
      <c r="E29" s="193" t="n"/>
      <c r="F29" s="193" t="n"/>
      <c r="G29" s="193" t="n"/>
      <c r="H29" s="193" t="n"/>
      <c r="I29" s="193" t="n"/>
      <c r="J29" s="193" t="n"/>
    </row>
    <row r="30">
      <c r="A30" s="198" t="n">
        <v>15</v>
      </c>
      <c r="B30" s="263" t="inlineStr">
        <is>
          <t>CONTROL POWER SUPPLY UNIT (FDA SYSTEM)</t>
        </is>
      </c>
      <c r="C30" s="263" t="n">
        <v>1</v>
      </c>
      <c r="D30" s="283" t="n"/>
      <c r="E30" s="193" t="n"/>
      <c r="F30" s="193" t="n"/>
      <c r="G30" s="193" t="n"/>
      <c r="H30" s="193" t="n"/>
      <c r="I30" s="193" t="n"/>
      <c r="J30" s="193" t="n"/>
    </row>
    <row r="31">
      <c r="A31" s="198" t="n">
        <v>16</v>
      </c>
      <c r="B31" s="263" t="inlineStr">
        <is>
          <t>ABB CONTROLLER PCB DEFECTIVE</t>
        </is>
      </c>
      <c r="C31" s="263" t="n">
        <v>1</v>
      </c>
      <c r="D31" s="283" t="n"/>
      <c r="E31" s="193" t="n"/>
      <c r="F31" s="193" t="n"/>
      <c r="G31" s="193" t="n"/>
      <c r="H31" s="193" t="n"/>
      <c r="I31" s="193" t="n"/>
      <c r="J31" s="193" t="n"/>
    </row>
    <row r="32">
      <c r="A32" s="198" t="n">
        <v>17</v>
      </c>
      <c r="B32" s="263" t="inlineStr">
        <is>
          <t>PERISTALIC PUMP</t>
        </is>
      </c>
      <c r="C32" s="263" t="n">
        <v>5</v>
      </c>
      <c r="D32" s="283" t="n"/>
      <c r="E32" s="193" t="n"/>
      <c r="F32" s="193" t="n"/>
      <c r="G32" s="193" t="n"/>
      <c r="H32" s="193" t="n"/>
      <c r="I32" s="193" t="n"/>
      <c r="J32" s="193" t="n"/>
    </row>
    <row r="33">
      <c r="A33" s="198" t="n">
        <v>18</v>
      </c>
      <c r="B33" s="263" t="inlineStr">
        <is>
          <t>BLANK MODULE PLATES</t>
        </is>
      </c>
      <c r="C33" s="263" t="n">
        <v>2</v>
      </c>
      <c r="D33" s="283" t="n"/>
      <c r="E33" s="193" t="n"/>
      <c r="F33" s="193" t="n"/>
      <c r="G33" s="193" t="n"/>
      <c r="H33" s="193" t="n"/>
      <c r="I33" s="193" t="n"/>
      <c r="J33" s="193" t="n"/>
    </row>
    <row r="34">
      <c r="A34" s="198" t="n">
        <v>19</v>
      </c>
      <c r="B34" s="263" t="inlineStr">
        <is>
          <t>SMALL FIBER JBS</t>
        </is>
      </c>
      <c r="C34" s="263" t="n">
        <v>6</v>
      </c>
      <c r="D34" s="283" t="n"/>
      <c r="E34" s="193" t="n"/>
      <c r="F34" s="193" t="n"/>
      <c r="G34" s="193" t="n"/>
      <c r="H34" s="193" t="n"/>
      <c r="I34" s="193" t="n"/>
      <c r="J34" s="193" t="n"/>
    </row>
    <row r="35">
      <c r="A35" s="198" t="n">
        <v>20</v>
      </c>
      <c r="B35" s="263" t="inlineStr">
        <is>
          <t>T-TYPE GI CONNECTOR</t>
        </is>
      </c>
      <c r="C35" s="263" t="n">
        <v>47</v>
      </c>
      <c r="D35" s="283" t="n"/>
      <c r="E35" s="193" t="n"/>
      <c r="F35" s="193" t="n"/>
      <c r="G35" s="193" t="n"/>
      <c r="H35" s="193" t="n"/>
      <c r="I35" s="193" t="n"/>
      <c r="J35" s="193" t="n"/>
    </row>
    <row r="36">
      <c r="A36" s="198" t="n">
        <v>21</v>
      </c>
      <c r="B36" s="263" t="inlineStr">
        <is>
          <t>T JOINT WELDEBLE</t>
        </is>
      </c>
      <c r="C36" s="263" t="n">
        <v>48</v>
      </c>
      <c r="D36" s="283" t="n"/>
      <c r="E36" s="193" t="n"/>
      <c r="F36" s="193" t="n"/>
      <c r="G36" s="193" t="n"/>
      <c r="H36" s="193" t="n"/>
      <c r="I36" s="193" t="n"/>
      <c r="J36" s="193" t="n"/>
    </row>
    <row r="37">
      <c r="A37" s="198" t="n">
        <v>22</v>
      </c>
      <c r="B37" s="263" t="inlineStr">
        <is>
          <t>1/2" GI NIPPLE</t>
        </is>
      </c>
      <c r="C37" s="263" t="n">
        <v>33</v>
      </c>
      <c r="D37" s="283" t="n"/>
      <c r="E37" s="193" t="n"/>
      <c r="F37" s="193" t="n"/>
      <c r="G37" s="193" t="n"/>
      <c r="H37" s="193" t="n"/>
      <c r="I37" s="193" t="n"/>
      <c r="J37" s="193" t="n"/>
    </row>
    <row r="38">
      <c r="A38" s="198" t="n">
        <v>23</v>
      </c>
      <c r="B38" s="263" t="inlineStr">
        <is>
          <t>STRAIGHT CONNECTOR</t>
        </is>
      </c>
      <c r="C38" s="263" t="n">
        <v>37</v>
      </c>
      <c r="D38" s="283" t="n"/>
      <c r="E38" s="193" t="n"/>
      <c r="F38" s="193" t="n"/>
      <c r="G38" s="193" t="n"/>
      <c r="H38" s="193" t="n"/>
      <c r="I38" s="193" t="n"/>
      <c r="J38" s="193" t="n"/>
    </row>
    <row r="39">
      <c r="A39" s="198" t="n">
        <v>24</v>
      </c>
      <c r="B39" s="263" t="inlineStr">
        <is>
          <t>8MM-10MM BALL WALVE</t>
        </is>
      </c>
      <c r="C39" s="263" t="n">
        <v>30</v>
      </c>
      <c r="D39" s="283" t="n"/>
      <c r="E39" s="193" t="n"/>
      <c r="F39" s="193" t="n"/>
      <c r="G39" s="193" t="n"/>
      <c r="H39" s="193" t="n"/>
      <c r="I39" s="193" t="n"/>
      <c r="J39" s="193" t="n"/>
    </row>
    <row r="40">
      <c r="A40" s="198" t="n">
        <v>25</v>
      </c>
      <c r="B40" s="263" t="inlineStr">
        <is>
          <t>1/2" SS SOCKET</t>
        </is>
      </c>
      <c r="C40" s="263" t="n">
        <v>1</v>
      </c>
      <c r="D40" s="283" t="n"/>
      <c r="E40" s="193" t="n"/>
      <c r="F40" s="193" t="n"/>
      <c r="G40" s="193" t="n"/>
      <c r="H40" s="193" t="n"/>
      <c r="I40" s="193" t="n"/>
      <c r="J40" s="193" t="n"/>
    </row>
    <row r="41">
      <c r="A41" s="198" t="n">
        <v>26</v>
      </c>
      <c r="B41" s="263" t="inlineStr">
        <is>
          <t>1/2"WELDABLE UNION</t>
        </is>
      </c>
      <c r="C41" s="263" t="n">
        <v>45</v>
      </c>
      <c r="D41" s="283" t="n"/>
      <c r="E41" s="193" t="n"/>
      <c r="F41" s="193" t="n"/>
      <c r="G41" s="193" t="n"/>
      <c r="H41" s="193" t="n"/>
      <c r="I41" s="193" t="n"/>
      <c r="J41" s="193" t="n"/>
    </row>
    <row r="42">
      <c r="A42" s="198" t="n">
        <v>27</v>
      </c>
      <c r="B42" s="263" t="inlineStr">
        <is>
          <t>LIMIT SWITCH BOLTS&amp;NUTS</t>
        </is>
      </c>
      <c r="C42" s="263" t="n">
        <v>100</v>
      </c>
      <c r="D42" s="283" t="n"/>
      <c r="E42" s="193" t="n"/>
      <c r="F42" s="193" t="n"/>
      <c r="G42" s="193" t="n"/>
      <c r="H42" s="193" t="n"/>
      <c r="I42" s="193" t="n"/>
      <c r="J42" s="193" t="n"/>
    </row>
    <row r="43">
      <c r="A43" s="198" t="n">
        <v>28</v>
      </c>
      <c r="B43" s="263" t="inlineStr">
        <is>
          <t>U TYPE 2"</t>
        </is>
      </c>
      <c r="C43" s="263" t="n">
        <v>50</v>
      </c>
      <c r="D43" s="283" t="n"/>
      <c r="E43" s="193" t="n"/>
      <c r="F43" s="193" t="n"/>
      <c r="G43" s="193" t="n"/>
      <c r="H43" s="193" t="n"/>
      <c r="I43" s="193" t="n"/>
      <c r="J43" s="193" t="n"/>
    </row>
    <row r="44">
      <c r="A44" s="198" t="n">
        <v>29</v>
      </c>
      <c r="B44" s="263" t="inlineStr">
        <is>
          <t>SCHENCK PROCESS DEFECTIVE CONTROLLER</t>
        </is>
      </c>
      <c r="C44" s="263" t="n">
        <v>1</v>
      </c>
      <c r="D44" s="283" t="n"/>
      <c r="E44" s="193" t="n"/>
      <c r="F44" s="193" t="n"/>
      <c r="G44" s="193" t="n"/>
      <c r="H44" s="193" t="n"/>
      <c r="I44" s="193" t="n"/>
      <c r="J44" s="193" t="n"/>
    </row>
    <row r="45">
      <c r="A45" s="198" t="n">
        <v>30</v>
      </c>
      <c r="B45" s="263" t="inlineStr">
        <is>
          <t>PULL CORD ROPE</t>
        </is>
      </c>
      <c r="C45" s="263" t="inlineStr">
        <is>
          <t>50MTR</t>
        </is>
      </c>
      <c r="D45" s="283" t="n"/>
      <c r="E45" s="193" t="n"/>
      <c r="F45" s="193" t="n"/>
      <c r="G45" s="193" t="n"/>
      <c r="H45" s="193" t="n"/>
      <c r="I45" s="193" t="n"/>
      <c r="J45" s="193" t="n"/>
    </row>
    <row r="46">
      <c r="A46" s="198" t="n">
        <v>31</v>
      </c>
      <c r="B46" s="263" t="inlineStr">
        <is>
          <t>PROFIBUS CABLE</t>
        </is>
      </c>
      <c r="C46" s="263" t="inlineStr">
        <is>
          <t>150MTR</t>
        </is>
      </c>
      <c r="D46" s="281" t="n"/>
      <c r="E46" s="193" t="n"/>
      <c r="F46" s="193" t="n"/>
      <c r="G46" s="193" t="n"/>
      <c r="H46" s="193" t="n"/>
      <c r="I46" s="193" t="n"/>
      <c r="J46" s="193" t="n"/>
    </row>
    <row r="47">
      <c r="A47" s="195" t="inlineStr">
        <is>
          <t>SL no</t>
        </is>
      </c>
      <c r="B47" s="196" t="inlineStr">
        <is>
          <t>Description</t>
        </is>
      </c>
      <c r="C47" s="196" t="inlineStr">
        <is>
          <t>Qty</t>
        </is>
      </c>
      <c r="D47" s="197" t="inlineStr">
        <is>
          <t>Location</t>
        </is>
      </c>
      <c r="E47" s="193" t="n"/>
      <c r="F47" s="193" t="n"/>
      <c r="G47" s="193" t="n"/>
      <c r="H47" s="193" t="n"/>
      <c r="I47" s="193" t="n"/>
      <c r="J47" s="193" t="n"/>
    </row>
    <row r="48">
      <c r="A48" s="198" t="n">
        <v>1</v>
      </c>
      <c r="B48" s="263" t="inlineStr">
        <is>
          <t>1/4 NIPPLE</t>
        </is>
      </c>
      <c r="C48" s="263" t="n">
        <v>16</v>
      </c>
      <c r="D48" s="275" t="inlineStr">
        <is>
          <t>RACK-3 ANALYSER ROOM</t>
        </is>
      </c>
      <c r="E48" s="193" t="n"/>
      <c r="F48" s="193" t="n"/>
      <c r="G48" s="193" t="n"/>
      <c r="H48" s="193" t="n"/>
      <c r="I48" s="193" t="n"/>
      <c r="J48" s="193" t="n"/>
    </row>
    <row r="49">
      <c r="A49" s="198" t="n">
        <v>2</v>
      </c>
      <c r="B49" s="263" t="inlineStr">
        <is>
          <t>BENT IRON JOINT</t>
        </is>
      </c>
      <c r="C49" s="263" t="n">
        <v>50</v>
      </c>
      <c r="D49" s="283" t="n"/>
      <c r="E49" s="193" t="n"/>
      <c r="F49" s="193" t="n"/>
      <c r="G49" s="193" t="n"/>
      <c r="H49" s="193" t="n"/>
      <c r="I49" s="193" t="n"/>
      <c r="J49" s="193" t="n"/>
    </row>
    <row r="50">
      <c r="A50" s="198" t="n">
        <v>3</v>
      </c>
      <c r="B50" s="263" t="inlineStr">
        <is>
          <t>1/4 T-TYPE CONNECTOR</t>
        </is>
      </c>
      <c r="C50" s="263" t="n">
        <v>10</v>
      </c>
      <c r="D50" s="283" t="n"/>
      <c r="E50" s="193" t="n"/>
      <c r="F50" s="193" t="n"/>
      <c r="G50" s="193" t="n"/>
      <c r="H50" s="193" t="n"/>
      <c r="I50" s="193" t="n"/>
      <c r="J50" s="193" t="n"/>
    </row>
    <row r="51">
      <c r="A51" s="198" t="n">
        <v>4</v>
      </c>
      <c r="B51" s="263" t="inlineStr">
        <is>
          <t>1/2" WELDABLE SOCKET</t>
        </is>
      </c>
      <c r="C51" s="263" t="n">
        <v>40</v>
      </c>
      <c r="D51" s="283" t="n"/>
      <c r="E51" s="193" t="n"/>
      <c r="F51" s="193" t="n"/>
      <c r="G51" s="193" t="n"/>
      <c r="H51" s="193" t="n"/>
      <c r="I51" s="193" t="n"/>
      <c r="J51" s="193" t="n"/>
    </row>
    <row r="52">
      <c r="A52" s="198" t="n">
        <v>5</v>
      </c>
      <c r="B52" s="263" t="inlineStr">
        <is>
          <t>1/2" -3/4 STRAIGHT CONNECTOR</t>
        </is>
      </c>
      <c r="C52" s="263" t="n">
        <v>47</v>
      </c>
      <c r="D52" s="283" t="n"/>
      <c r="E52" s="193" t="n"/>
      <c r="F52" s="193" t="n"/>
      <c r="G52" s="193" t="n"/>
      <c r="H52" s="193" t="n"/>
      <c r="I52" s="193" t="n"/>
      <c r="J52" s="193" t="n"/>
    </row>
    <row r="53">
      <c r="A53" s="198" t="n">
        <v>6</v>
      </c>
      <c r="B53" s="263" t="inlineStr">
        <is>
          <t>1/4THREADED SOCKET SS</t>
        </is>
      </c>
      <c r="C53" s="263" t="n">
        <v>15</v>
      </c>
      <c r="D53" s="283" t="n"/>
      <c r="E53" s="193" t="n"/>
      <c r="F53" s="193" t="n"/>
      <c r="G53" s="193" t="n"/>
      <c r="H53" s="193" t="n"/>
      <c r="I53" s="193" t="n"/>
      <c r="J53" s="193" t="n"/>
    </row>
    <row r="54">
      <c r="A54" s="198" t="n">
        <v>7</v>
      </c>
      <c r="B54" s="263" t="inlineStr">
        <is>
          <t xml:space="preserve">U TYPE 1/2" </t>
        </is>
      </c>
      <c r="C54" s="263" t="n">
        <v>20</v>
      </c>
      <c r="D54" s="281" t="n"/>
      <c r="E54" s="193" t="n"/>
      <c r="F54" s="193" t="n"/>
      <c r="G54" s="193" t="n"/>
      <c r="H54" s="193" t="n"/>
      <c r="I54" s="193" t="n"/>
      <c r="J54" s="193" t="n"/>
    </row>
    <row r="55">
      <c r="A55" s="195" t="inlineStr">
        <is>
          <t>SL no</t>
        </is>
      </c>
      <c r="B55" s="196" t="inlineStr">
        <is>
          <t>Description</t>
        </is>
      </c>
      <c r="C55" s="196" t="inlineStr">
        <is>
          <t>Qty</t>
        </is>
      </c>
      <c r="D55" s="197" t="inlineStr">
        <is>
          <t>Location</t>
        </is>
      </c>
      <c r="E55" s="193" t="n"/>
      <c r="F55" s="193" t="n"/>
      <c r="G55" s="193" t="n"/>
      <c r="H55" s="193" t="n"/>
      <c r="I55" s="193" t="n"/>
      <c r="J55" s="193" t="n"/>
    </row>
    <row r="56">
      <c r="A56" s="198" t="n">
        <v>1</v>
      </c>
      <c r="B56" s="263" t="inlineStr">
        <is>
          <t>PRESSURE TRANSMITTER DIAPHRAGM TYPE</t>
        </is>
      </c>
      <c r="C56" s="263" t="n">
        <v>1</v>
      </c>
      <c r="D56" s="275" t="inlineStr">
        <is>
          <t>CABINET-1 PLC  ROOM</t>
        </is>
      </c>
      <c r="E56" s="193" t="n"/>
      <c r="F56" s="193" t="n"/>
      <c r="G56" s="193" t="n"/>
      <c r="H56" s="193" t="n"/>
      <c r="I56" s="193" t="n"/>
      <c r="J56" s="193" t="n"/>
    </row>
    <row r="57">
      <c r="A57" s="198" t="n">
        <v>2</v>
      </c>
      <c r="B57" s="263" t="inlineStr">
        <is>
          <t>PRESSURE TRANSMITTER (0-1 KG/CM2)</t>
        </is>
      </c>
      <c r="C57" s="263" t="n">
        <v>1</v>
      </c>
      <c r="D57" s="283" t="n"/>
      <c r="E57" s="193" t="n"/>
      <c r="F57" s="193" t="n"/>
      <c r="G57" s="193" t="n"/>
      <c r="H57" s="193" t="n"/>
      <c r="I57" s="193" t="n"/>
      <c r="J57" s="193" t="n"/>
    </row>
    <row r="58">
      <c r="A58" s="198" t="n">
        <v>3</v>
      </c>
      <c r="B58" s="263" t="inlineStr">
        <is>
          <t>PRESSURE TRANSMITTER (0-10 KG/CM2)</t>
        </is>
      </c>
      <c r="C58" s="263" t="n">
        <v>1</v>
      </c>
      <c r="D58" s="283" t="n"/>
      <c r="E58" s="193" t="n"/>
      <c r="F58" s="193" t="n"/>
      <c r="G58" s="193" t="n"/>
      <c r="H58" s="193" t="n"/>
      <c r="I58" s="193" t="n"/>
      <c r="J58" s="193" t="n"/>
    </row>
    <row r="59">
      <c r="A59" s="198" t="n">
        <v>4</v>
      </c>
      <c r="B59" s="263" t="inlineStr">
        <is>
          <t>PRESSURE TRANSMITTER (0-0.2 KG/CM2)</t>
        </is>
      </c>
      <c r="C59" s="263" t="n">
        <v>1</v>
      </c>
      <c r="D59" s="283" t="n"/>
      <c r="E59" s="193" t="n"/>
      <c r="F59" s="193" t="n"/>
      <c r="G59" s="193" t="n"/>
      <c r="H59" s="193" t="n"/>
      <c r="I59" s="193" t="n"/>
      <c r="J59" s="193" t="n"/>
    </row>
    <row r="60">
      <c r="A60" s="198" t="n"/>
      <c r="B60" s="263" t="inlineStr">
        <is>
          <t>PRESSURE TRANSDUCER 0-25 BAR</t>
        </is>
      </c>
      <c r="C60" s="263" t="n">
        <v>1</v>
      </c>
      <c r="D60" s="283" t="n"/>
      <c r="E60" s="193" t="n"/>
      <c r="F60" s="193" t="n"/>
      <c r="G60" s="193" t="n"/>
      <c r="H60" s="193" t="n"/>
      <c r="I60" s="193" t="n"/>
      <c r="J60" s="193" t="n"/>
    </row>
    <row r="61">
      <c r="A61" s="198" t="n">
        <v>5</v>
      </c>
      <c r="B61" s="263" t="inlineStr">
        <is>
          <t>VIBRATION TRANSMITTER</t>
        </is>
      </c>
      <c r="C61" s="263" t="n">
        <v>6</v>
      </c>
      <c r="D61" s="283" t="n"/>
      <c r="E61" s="193" t="n"/>
      <c r="F61" s="193" t="n"/>
      <c r="G61" s="193" t="n"/>
      <c r="H61" s="193" t="n"/>
      <c r="I61" s="193" t="n"/>
      <c r="J61" s="193" t="n"/>
    </row>
    <row r="62">
      <c r="A62" s="198" t="n">
        <v>6</v>
      </c>
      <c r="B62" s="263" t="inlineStr">
        <is>
          <t>PVC TUBE 8MM</t>
        </is>
      </c>
      <c r="C62" s="263" t="inlineStr">
        <is>
          <t>1BOX</t>
        </is>
      </c>
      <c r="D62" s="283" t="n"/>
      <c r="E62" s="193" t="n"/>
      <c r="F62" s="193" t="n"/>
      <c r="G62" s="193" t="n"/>
      <c r="H62" s="193" t="n"/>
      <c r="I62" s="193" t="n"/>
      <c r="J62" s="193" t="n"/>
    </row>
    <row r="63">
      <c r="A63" s="198" t="n">
        <v>7</v>
      </c>
      <c r="B63" s="263" t="inlineStr">
        <is>
          <t>PVC TUBE 10MM</t>
        </is>
      </c>
      <c r="C63" s="263" t="inlineStr">
        <is>
          <t>1BOX</t>
        </is>
      </c>
      <c r="D63" s="283" t="n"/>
      <c r="E63" s="193" t="n"/>
      <c r="F63" s="193" t="n"/>
      <c r="G63" s="193" t="n"/>
      <c r="H63" s="193" t="n"/>
      <c r="I63" s="193" t="n"/>
      <c r="J63" s="193" t="n"/>
    </row>
    <row r="64">
      <c r="A64" s="198" t="n">
        <v>8</v>
      </c>
      <c r="B64" s="263" t="inlineStr">
        <is>
          <t>PRESSURE GAUGE (0-1 MPA)</t>
        </is>
      </c>
      <c r="C64" s="263" t="n">
        <v>1</v>
      </c>
      <c r="D64" s="283" t="n"/>
      <c r="E64" s="193" t="n"/>
      <c r="F64" s="193" t="n"/>
      <c r="G64" s="193" t="n"/>
      <c r="H64" s="193" t="n"/>
      <c r="I64" s="193" t="n"/>
      <c r="J64" s="193" t="n"/>
    </row>
    <row r="65">
      <c r="A65" s="198" t="n">
        <v>9</v>
      </c>
      <c r="B65" s="263" t="inlineStr">
        <is>
          <t>PRESSURE GAUGE (0-16 KG)</t>
        </is>
      </c>
      <c r="C65" s="263" t="n">
        <v>1</v>
      </c>
      <c r="D65" s="283" t="n"/>
      <c r="E65" s="193" t="n"/>
      <c r="F65" s="193" t="n"/>
      <c r="G65" s="193" t="n"/>
      <c r="H65" s="193" t="n"/>
      <c r="I65" s="193" t="n"/>
      <c r="J65" s="193" t="n"/>
    </row>
    <row r="66">
      <c r="A66" s="198" t="n">
        <v>10</v>
      </c>
      <c r="B66" s="263" t="inlineStr">
        <is>
          <t>PRESSURE GAUGE (0-1 KG)</t>
        </is>
      </c>
      <c r="C66" s="263" t="n">
        <v>1</v>
      </c>
      <c r="D66" s="283" t="n"/>
      <c r="E66" s="193" t="n"/>
      <c r="F66" s="193" t="n"/>
      <c r="G66" s="193" t="n"/>
      <c r="H66" s="193" t="n"/>
      <c r="I66" s="193" t="n"/>
      <c r="J66" s="193" t="n"/>
    </row>
    <row r="67">
      <c r="A67" s="198" t="n">
        <v>11</v>
      </c>
      <c r="B67" s="263" t="inlineStr">
        <is>
          <t>PRESSURE GAUGE (0-10KG) SMALL</t>
        </is>
      </c>
      <c r="C67" s="263" t="n">
        <v>3</v>
      </c>
      <c r="D67" s="283" t="n"/>
      <c r="E67" s="193" t="n"/>
      <c r="F67" s="193" t="n"/>
      <c r="G67" s="193" t="n"/>
      <c r="H67" s="193" t="n"/>
      <c r="I67" s="193" t="n"/>
      <c r="J67" s="193" t="n"/>
    </row>
    <row r="68">
      <c r="A68" s="198" t="n">
        <v>12</v>
      </c>
      <c r="B68" s="263" t="inlineStr">
        <is>
          <t>TEMPERATURE GAUGE (0-100 deg C)</t>
        </is>
      </c>
      <c r="C68" s="263" t="n">
        <v>1</v>
      </c>
      <c r="D68" s="283" t="n"/>
      <c r="E68" s="193" t="n"/>
      <c r="F68" s="193" t="n"/>
      <c r="G68" s="193" t="n"/>
      <c r="H68" s="193" t="n"/>
      <c r="I68" s="193" t="n"/>
      <c r="J68" s="193" t="n"/>
    </row>
    <row r="69">
      <c r="A69" s="198" t="n">
        <v>13</v>
      </c>
      <c r="B69" s="263" t="inlineStr">
        <is>
          <t>TEMPERATURE GAUGE (0-180 deg C)</t>
        </is>
      </c>
      <c r="C69" s="263" t="n">
        <v>1</v>
      </c>
      <c r="D69" s="283" t="n"/>
      <c r="E69" s="193" t="n"/>
      <c r="F69" s="193" t="n"/>
      <c r="G69" s="193" t="n"/>
      <c r="H69" s="193" t="n"/>
      <c r="I69" s="193" t="n"/>
      <c r="J69" s="193" t="n"/>
    </row>
    <row r="70">
      <c r="A70" s="198" t="n">
        <v>14</v>
      </c>
      <c r="B70" s="263" t="inlineStr">
        <is>
          <t>RADAR TYPE LEVEL TRANSMITTER (0-5 MTR)</t>
        </is>
      </c>
      <c r="C70" s="263" t="n">
        <v>1</v>
      </c>
      <c r="D70" s="283" t="n"/>
      <c r="E70" s="193" t="n"/>
      <c r="F70" s="193" t="n"/>
      <c r="G70" s="193" t="n"/>
      <c r="H70" s="193" t="n"/>
      <c r="I70" s="193" t="n"/>
      <c r="J70" s="193" t="n"/>
    </row>
    <row r="71">
      <c r="A71" s="198" t="n">
        <v>15</v>
      </c>
      <c r="B71" s="263" t="inlineStr">
        <is>
          <t xml:space="preserve">LOADCELL 4.7 TON </t>
        </is>
      </c>
      <c r="C71" s="263" t="n">
        <v>3</v>
      </c>
      <c r="D71" s="283" t="n"/>
      <c r="E71" s="193" t="n"/>
      <c r="F71" s="193" t="n"/>
      <c r="G71" s="193" t="n"/>
      <c r="H71" s="193" t="n"/>
      <c r="I71" s="193" t="n"/>
      <c r="J71" s="193" t="n"/>
    </row>
    <row r="72">
      <c r="A72" s="198" t="n">
        <v>16</v>
      </c>
      <c r="B72" s="263" t="inlineStr">
        <is>
          <t>RTD &amp;TC TRANSMITTER</t>
        </is>
      </c>
      <c r="C72" s="263" t="n">
        <v>5</v>
      </c>
      <c r="D72" s="283" t="n"/>
      <c r="E72" s="193" t="n"/>
      <c r="F72" s="193" t="n"/>
      <c r="G72" s="193" t="n"/>
      <c r="H72" s="193" t="n"/>
      <c r="I72" s="193" t="n"/>
      <c r="J72" s="193" t="n"/>
    </row>
    <row r="73">
      <c r="A73" s="198" t="n">
        <v>18</v>
      </c>
      <c r="B73" s="263" t="inlineStr">
        <is>
          <t>RTD SENSOR (COMPRESSOR ITEMS)</t>
        </is>
      </c>
      <c r="C73" s="263" t="n">
        <v>2</v>
      </c>
      <c r="D73" s="283" t="n"/>
      <c r="E73" s="193" t="n"/>
      <c r="F73" s="193" t="n"/>
      <c r="G73" s="193" t="n"/>
      <c r="H73" s="193" t="n"/>
      <c r="I73" s="193" t="n"/>
      <c r="J73" s="193" t="n"/>
    </row>
    <row r="74">
      <c r="A74" s="198" t="n">
        <v>19</v>
      </c>
      <c r="B74" s="263" t="inlineStr">
        <is>
          <t>THERMISTOR(COMPRESSOR ITEMS)</t>
        </is>
      </c>
      <c r="C74" s="263" t="n">
        <v>2</v>
      </c>
      <c r="D74" s="283" t="n"/>
      <c r="E74" s="193" t="n"/>
      <c r="F74" s="193" t="n"/>
      <c r="G74" s="193" t="n"/>
      <c r="H74" s="193" t="n"/>
      <c r="I74" s="193" t="n"/>
      <c r="J74" s="193" t="n"/>
    </row>
    <row r="75">
      <c r="A75" s="198" t="n">
        <v>20</v>
      </c>
      <c r="B75" s="263" t="inlineStr">
        <is>
          <t>SOV 110V(COMPRESSOR ITEMS)</t>
        </is>
      </c>
      <c r="C75" s="263" t="n">
        <v>6</v>
      </c>
      <c r="D75" s="283" t="n"/>
      <c r="E75" s="193" t="n"/>
      <c r="F75" s="193" t="n"/>
      <c r="G75" s="193" t="n"/>
      <c r="H75" s="193" t="n"/>
      <c r="I75" s="193" t="n"/>
      <c r="J75" s="193" t="n"/>
    </row>
    <row r="76">
      <c r="A76" s="198" t="n">
        <v>21</v>
      </c>
      <c r="B76" s="263" t="inlineStr">
        <is>
          <t>PRESSURE TRANSDUCER 225 PSI (COMPRESSOR ITEMS)</t>
        </is>
      </c>
      <c r="C76" s="263" t="n">
        <v>3</v>
      </c>
      <c r="D76" s="283" t="n"/>
      <c r="E76" s="193" t="n"/>
      <c r="F76" s="193" t="n"/>
      <c r="G76" s="193" t="n"/>
      <c r="H76" s="193" t="n"/>
      <c r="I76" s="193" t="n"/>
      <c r="J76" s="193" t="n"/>
    </row>
    <row r="77">
      <c r="A77" s="198" t="n">
        <v>22</v>
      </c>
      <c r="B77" s="263" t="inlineStr">
        <is>
          <t>PRESSURE TRANSDUCER 100 PSI (COMPRESSOR ITEMS)</t>
        </is>
      </c>
      <c r="C77" s="263" t="n">
        <v>2</v>
      </c>
      <c r="D77" s="283" t="n"/>
      <c r="E77" s="193" t="n"/>
      <c r="F77" s="193" t="n"/>
      <c r="G77" s="193" t="n"/>
      <c r="H77" s="193" t="n"/>
      <c r="I77" s="193" t="n"/>
      <c r="J77" s="193" t="n"/>
    </row>
    <row r="78">
      <c r="A78" s="198" t="n">
        <v>23</v>
      </c>
      <c r="B78" s="263" t="inlineStr">
        <is>
          <t>VACCUM TRANSDUCER 0-15 PSI (COMPRESSOR ITEMS)</t>
        </is>
      </c>
      <c r="C78" s="263" t="n">
        <v>1</v>
      </c>
      <c r="D78" s="283" t="n"/>
      <c r="E78" s="193" t="n"/>
      <c r="F78" s="193" t="n"/>
      <c r="G78" s="193" t="n"/>
      <c r="H78" s="193" t="n"/>
      <c r="I78" s="193" t="n"/>
      <c r="J78" s="193" t="n"/>
    </row>
    <row r="79">
      <c r="A79" s="198" t="n">
        <v>24</v>
      </c>
      <c r="B79" s="263" t="inlineStr">
        <is>
          <t>CHECK VALVE KIT (COMPRESSOR ITEMS)</t>
        </is>
      </c>
      <c r="C79" s="263" t="n">
        <v>2</v>
      </c>
      <c r="D79" s="283" t="n"/>
      <c r="E79" s="193" t="n"/>
      <c r="F79" s="193" t="n"/>
      <c r="G79" s="193" t="n"/>
      <c r="H79" s="193" t="n"/>
      <c r="I79" s="193" t="n"/>
      <c r="J79" s="193" t="n"/>
    </row>
    <row r="80">
      <c r="A80" s="198" t="n">
        <v>25</v>
      </c>
      <c r="B80" s="263" t="inlineStr">
        <is>
          <t>FLAME DETECTOR</t>
        </is>
      </c>
      <c r="C80" s="263" t="n">
        <v>1</v>
      </c>
      <c r="D80" s="283" t="n"/>
      <c r="E80" s="193" t="n"/>
      <c r="F80" s="193" t="n"/>
      <c r="G80" s="193" t="n"/>
      <c r="H80" s="193" t="n"/>
      <c r="I80" s="193" t="n"/>
      <c r="J80" s="193" t="n"/>
    </row>
    <row r="81">
      <c r="A81" s="198" t="n">
        <v>26</v>
      </c>
      <c r="B81" s="263" t="inlineStr">
        <is>
          <t>FLOW TRANSMITTER (0-100MPA)</t>
        </is>
      </c>
      <c r="C81" s="263" t="n">
        <v>1</v>
      </c>
      <c r="D81" s="283" t="n"/>
      <c r="E81" s="193" t="n"/>
      <c r="F81" s="193" t="n"/>
      <c r="G81" s="193" t="n"/>
      <c r="H81" s="193" t="n"/>
      <c r="I81" s="193" t="n"/>
      <c r="J81" s="193" t="n"/>
    </row>
    <row r="82">
      <c r="A82" s="198" t="n">
        <v>27</v>
      </c>
      <c r="B82" s="263" t="inlineStr">
        <is>
          <t>FLOW JAM SWITCH</t>
        </is>
      </c>
      <c r="C82" s="263" t="n">
        <v>1</v>
      </c>
      <c r="D82" s="283" t="n"/>
      <c r="E82" s="193" t="n"/>
      <c r="F82" s="193" t="n"/>
      <c r="G82" s="193" t="n"/>
      <c r="H82" s="193" t="n"/>
      <c r="I82" s="193" t="n"/>
      <c r="J82" s="193" t="n"/>
    </row>
    <row r="83">
      <c r="A83" s="198" t="n">
        <v>28</v>
      </c>
      <c r="B83" s="263" t="inlineStr">
        <is>
          <t>PRESSURE TRANMITTER (0-10KG)</t>
        </is>
      </c>
      <c r="C83" s="263" t="n">
        <v>1</v>
      </c>
      <c r="D83" s="283" t="n"/>
      <c r="E83" s="193" t="n"/>
      <c r="F83" s="193" t="n"/>
      <c r="G83" s="193" t="n"/>
      <c r="H83" s="193" t="n"/>
      <c r="I83" s="193" t="n"/>
      <c r="J83" s="193" t="n"/>
    </row>
    <row r="84">
      <c r="A84" s="198" t="n">
        <v>29</v>
      </c>
      <c r="B84" s="263" t="inlineStr">
        <is>
          <t xml:space="preserve">ZERO SPEED SWITCH(ZSS 110V AC) </t>
        </is>
      </c>
      <c r="C84" s="263" t="n">
        <v>3</v>
      </c>
      <c r="D84" s="281" t="n"/>
      <c r="E84" s="193" t="n"/>
      <c r="F84" s="193" t="n"/>
      <c r="G84" s="193" t="n"/>
      <c r="H84" s="193" t="n"/>
      <c r="I84" s="193" t="n"/>
      <c r="J84" s="193" t="n"/>
    </row>
    <row r="85">
      <c r="A85" s="195" t="inlineStr">
        <is>
          <t>SL no</t>
        </is>
      </c>
      <c r="B85" s="196" t="inlineStr">
        <is>
          <t>Description</t>
        </is>
      </c>
      <c r="C85" s="196" t="inlineStr">
        <is>
          <t>Qty</t>
        </is>
      </c>
      <c r="D85" s="197" t="inlineStr">
        <is>
          <t>Location</t>
        </is>
      </c>
      <c r="E85" s="193" t="n"/>
      <c r="F85" s="193" t="n"/>
      <c r="G85" s="193" t="n"/>
      <c r="H85" s="193" t="n"/>
      <c r="I85" s="193" t="n"/>
      <c r="J85" s="193" t="n"/>
    </row>
    <row r="86">
      <c r="A86" s="198" t="n">
        <v>1</v>
      </c>
      <c r="B86" s="263" t="inlineStr">
        <is>
          <t>SCHENCK PROCESS  DISO BOX</t>
        </is>
      </c>
      <c r="C86" s="263" t="n">
        <v>2</v>
      </c>
      <c r="D86" s="275" t="inlineStr">
        <is>
          <t>CABINET-2PLC  ROOM</t>
        </is>
      </c>
      <c r="E86" s="193" t="n"/>
      <c r="F86" s="193" t="n"/>
      <c r="G86" s="193" t="n"/>
      <c r="H86" s="193" t="n"/>
      <c r="I86" s="193" t="n"/>
      <c r="J86" s="193" t="n"/>
    </row>
    <row r="87">
      <c r="A87" s="198" t="n">
        <v>2</v>
      </c>
      <c r="B87" s="263" t="inlineStr">
        <is>
          <t>LIU UNIT</t>
        </is>
      </c>
      <c r="C87" s="263" t="n">
        <v>4</v>
      </c>
      <c r="D87" s="283" t="n"/>
      <c r="E87" s="193" t="n"/>
      <c r="F87" s="193" t="n"/>
      <c r="G87" s="193" t="n"/>
      <c r="H87" s="193" t="n"/>
      <c r="I87" s="193" t="n"/>
      <c r="J87" s="193" t="n"/>
    </row>
    <row r="88">
      <c r="A88" s="198" t="n">
        <v>3</v>
      </c>
      <c r="B88" s="263" t="inlineStr">
        <is>
          <t>D-LINK ADAPTER PANNEL</t>
        </is>
      </c>
      <c r="C88" s="263" t="n">
        <v>1</v>
      </c>
      <c r="D88" s="283" t="n"/>
      <c r="E88" s="193" t="n"/>
      <c r="F88" s="193" t="n"/>
      <c r="G88" s="193" t="n"/>
      <c r="H88" s="193" t="n"/>
      <c r="I88" s="193" t="n"/>
      <c r="J88" s="193" t="n"/>
    </row>
    <row r="89">
      <c r="A89" s="198" t="n">
        <v>4</v>
      </c>
      <c r="B89" s="263" t="inlineStr">
        <is>
          <t>D-LINK  PATCH CORD</t>
        </is>
      </c>
      <c r="C89" s="263" t="inlineStr">
        <is>
          <t>1 BOX</t>
        </is>
      </c>
      <c r="D89" s="283" t="n"/>
      <c r="E89" s="193" t="n"/>
      <c r="F89" s="193" t="n"/>
      <c r="G89" s="193" t="n"/>
      <c r="H89" s="193" t="n"/>
      <c r="I89" s="193" t="n"/>
      <c r="J89" s="193" t="n"/>
    </row>
    <row r="90">
      <c r="A90" s="198" t="n">
        <v>5</v>
      </c>
      <c r="B90" s="263" t="inlineStr">
        <is>
          <t>CAMERA CABLE</t>
        </is>
      </c>
      <c r="C90" s="263" t="inlineStr">
        <is>
          <t>50MTR</t>
        </is>
      </c>
      <c r="D90" s="283" t="n"/>
      <c r="E90" s="193" t="n"/>
      <c r="F90" s="193" t="n"/>
      <c r="G90" s="193" t="n"/>
      <c r="H90" s="193" t="n"/>
      <c r="I90" s="193" t="n"/>
      <c r="J90" s="193" t="n"/>
    </row>
    <row r="91">
      <c r="A91" s="198" t="n">
        <v>6</v>
      </c>
      <c r="B91" s="263" t="inlineStr">
        <is>
          <t>RTD CABLE FOR VRM ROLLER BEARING TEMP</t>
        </is>
      </c>
      <c r="C91" s="263" t="inlineStr">
        <is>
          <t>40 MTR</t>
        </is>
      </c>
      <c r="D91" s="283" t="n"/>
      <c r="E91" s="193" t="n"/>
      <c r="F91" s="193" t="n"/>
      <c r="G91" s="193" t="n"/>
      <c r="H91" s="193" t="n"/>
      <c r="I91" s="193" t="n"/>
      <c r="J91" s="193" t="n"/>
    </row>
    <row r="92">
      <c r="A92" s="198" t="n">
        <v>7</v>
      </c>
      <c r="B92" s="263" t="inlineStr">
        <is>
          <t>2 PAIR TELEPHONE CABLE</t>
        </is>
      </c>
      <c r="C92" s="263" t="inlineStr">
        <is>
          <t>3 ROLL</t>
        </is>
      </c>
      <c r="D92" s="283" t="n"/>
      <c r="E92" s="193" t="n"/>
      <c r="F92" s="193" t="n"/>
      <c r="G92" s="193" t="n"/>
      <c r="H92" s="193" t="n"/>
      <c r="I92" s="193" t="n"/>
      <c r="J92" s="193" t="n"/>
    </row>
    <row r="93">
      <c r="A93" s="263" t="n">
        <v>12</v>
      </c>
      <c r="B93" s="263" t="inlineStr">
        <is>
          <t>HYDRAULIC SOLENOID VALVE SET</t>
        </is>
      </c>
      <c r="C93" s="263" t="inlineStr">
        <is>
          <t>1 SET</t>
        </is>
      </c>
      <c r="D93" s="281" t="n"/>
      <c r="E93" s="193" t="n"/>
      <c r="F93" s="193" t="n"/>
      <c r="G93" s="193" t="n"/>
      <c r="H93" s="193" t="n"/>
      <c r="I93" s="193" t="n"/>
      <c r="J93" s="193" t="n"/>
    </row>
    <row r="94">
      <c r="A94" s="195" t="inlineStr">
        <is>
          <t>SL no</t>
        </is>
      </c>
      <c r="B94" s="196" t="inlineStr">
        <is>
          <t>Description</t>
        </is>
      </c>
      <c r="C94" s="196" t="inlineStr">
        <is>
          <t>Qty</t>
        </is>
      </c>
      <c r="D94" s="197" t="inlineStr">
        <is>
          <t>Location</t>
        </is>
      </c>
      <c r="E94" s="193" t="n"/>
      <c r="F94" s="193" t="n"/>
      <c r="G94" s="193" t="n"/>
      <c r="H94" s="193" t="n"/>
      <c r="I94" s="193" t="n"/>
      <c r="J94" s="193" t="n"/>
    </row>
    <row r="95">
      <c r="A95" s="198" t="n">
        <v>1</v>
      </c>
      <c r="B95" s="263" t="inlineStr">
        <is>
          <t>8 MM PUSH FIT STRAIGHT CONNECTOR</t>
        </is>
      </c>
      <c r="C95" s="263" t="n">
        <v>29</v>
      </c>
      <c r="D95" s="275" t="inlineStr">
        <is>
          <t>CABINET-3                    PLC  ROOM</t>
        </is>
      </c>
      <c r="E95" s="193" t="n"/>
      <c r="F95" s="193" t="n"/>
      <c r="G95" s="193" t="n"/>
      <c r="H95" s="193" t="n"/>
      <c r="I95" s="193" t="n"/>
      <c r="J95" s="193" t="n"/>
    </row>
    <row r="96">
      <c r="A96" s="198" t="n">
        <v>2</v>
      </c>
      <c r="B96" s="263" t="inlineStr">
        <is>
          <t>10 MM PUSH FIT STRAIGHT CONNECTOR</t>
        </is>
      </c>
      <c r="C96" s="263" t="n">
        <v>14</v>
      </c>
      <c r="D96" s="283" t="n"/>
      <c r="E96" s="193" t="n"/>
      <c r="F96" s="193" t="n"/>
      <c r="G96" s="193" t="n"/>
      <c r="H96" s="193" t="n"/>
      <c r="I96" s="193" t="n"/>
      <c r="J96" s="193" t="n"/>
    </row>
    <row r="97">
      <c r="A97" s="198" t="n">
        <v>3</v>
      </c>
      <c r="B97" s="263" t="inlineStr">
        <is>
          <t>10 MM 3/4 CONNECTOR</t>
        </is>
      </c>
      <c r="C97" s="263" t="n">
        <v>19</v>
      </c>
      <c r="D97" s="283" t="n"/>
      <c r="E97" s="193" t="n"/>
      <c r="F97" s="193" t="n"/>
      <c r="G97" s="193" t="n"/>
      <c r="H97" s="193" t="n"/>
      <c r="I97" s="193" t="n"/>
      <c r="J97" s="193" t="n"/>
    </row>
    <row r="98">
      <c r="A98" s="198" t="n">
        <v>4</v>
      </c>
      <c r="B98" s="263" t="inlineStr">
        <is>
          <t>8 MM 3/4 CONNECTOR</t>
        </is>
      </c>
      <c r="C98" s="263" t="n">
        <v>20</v>
      </c>
      <c r="D98" s="283" t="n"/>
      <c r="E98" s="193" t="n"/>
      <c r="F98" s="193" t="n"/>
      <c r="G98" s="193" t="n"/>
      <c r="H98" s="193" t="n"/>
      <c r="I98" s="193" t="n"/>
      <c r="J98" s="193" t="n"/>
    </row>
    <row r="99">
      <c r="A99" s="198" t="n">
        <v>5</v>
      </c>
      <c r="B99" s="263" t="inlineStr">
        <is>
          <t>10 MM T-TYPE PUSH FIT CONNECTOR</t>
        </is>
      </c>
      <c r="C99" s="263" t="n">
        <v>16</v>
      </c>
      <c r="D99" s="283" t="n"/>
      <c r="E99" s="193" t="n"/>
      <c r="F99" s="193" t="n"/>
      <c r="G99" s="193" t="n"/>
      <c r="H99" s="193" t="n"/>
      <c r="I99" s="193" t="n"/>
      <c r="J99" s="193" t="n"/>
    </row>
    <row r="100">
      <c r="A100" s="198" t="n">
        <v>6</v>
      </c>
      <c r="B100" s="263" t="inlineStr">
        <is>
          <t>8 MM T-TYPE PUSH FIT CONNECTOR</t>
        </is>
      </c>
      <c r="C100" s="263" t="n">
        <v>15</v>
      </c>
      <c r="D100" s="283" t="n"/>
      <c r="E100" s="193" t="n"/>
      <c r="F100" s="193" t="n"/>
      <c r="G100" s="193" t="n"/>
      <c r="H100" s="193" t="n"/>
      <c r="I100" s="193" t="n"/>
      <c r="J100" s="193" t="n"/>
    </row>
    <row r="101">
      <c r="A101" s="198" t="n">
        <v>7</v>
      </c>
      <c r="B101" s="263" t="inlineStr">
        <is>
          <t>1/2 " TO 1/4 BRASS FITTINGS</t>
        </is>
      </c>
      <c r="C101" s="263" t="n">
        <v>6</v>
      </c>
      <c r="D101" s="283" t="n"/>
      <c r="E101" s="193" t="n"/>
      <c r="F101" s="193" t="n"/>
      <c r="G101" s="193" t="n"/>
      <c r="H101" s="193" t="n"/>
      <c r="I101" s="193" t="n"/>
      <c r="J101" s="193" t="n"/>
    </row>
    <row r="102">
      <c r="A102" s="198" t="n">
        <v>8</v>
      </c>
      <c r="B102" s="263" t="inlineStr">
        <is>
          <t>10 MM PUSH FIT 1/2" CONNECTOR</t>
        </is>
      </c>
      <c r="C102" s="263" t="n">
        <v>11</v>
      </c>
      <c r="D102" s="283" t="n"/>
      <c r="E102" s="193" t="n"/>
      <c r="F102" s="193" t="n"/>
      <c r="G102" s="193" t="n"/>
      <c r="H102" s="193" t="n"/>
      <c r="I102" s="193" t="n"/>
      <c r="J102" s="193" t="n"/>
    </row>
    <row r="103">
      <c r="A103" s="198" t="n">
        <v>9</v>
      </c>
      <c r="B103" s="263" t="inlineStr">
        <is>
          <t>O RING FOR MANIFOLD</t>
        </is>
      </c>
      <c r="C103" s="263" t="n">
        <v>25</v>
      </c>
      <c r="D103" s="283" t="n"/>
      <c r="E103" s="193" t="n"/>
      <c r="F103" s="193" t="n"/>
      <c r="G103" s="193" t="n"/>
      <c r="H103" s="193" t="n"/>
      <c r="I103" s="193" t="n"/>
      <c r="J103" s="193" t="n"/>
    </row>
    <row r="104">
      <c r="A104" s="198" t="n">
        <v>10</v>
      </c>
      <c r="B104" s="263" t="inlineStr">
        <is>
          <t>8 MM PUSH FIT 1/4 CONNECTOR</t>
        </is>
      </c>
      <c r="C104" s="263" t="n">
        <v>35</v>
      </c>
      <c r="D104" s="283" t="n"/>
      <c r="E104" s="193" t="n"/>
      <c r="F104" s="193" t="n"/>
      <c r="G104" s="193" t="n"/>
      <c r="H104" s="193" t="n"/>
      <c r="I104" s="193" t="n"/>
      <c r="J104" s="193" t="n"/>
    </row>
    <row r="105">
      <c r="A105" s="198" t="n">
        <v>11</v>
      </c>
      <c r="B105" s="263" t="inlineStr">
        <is>
          <t>10 MM PUSH FIT 1/4 CONNECTOR</t>
        </is>
      </c>
      <c r="C105" s="263" t="n">
        <v>43</v>
      </c>
      <c r="D105" s="283" t="n"/>
      <c r="E105" s="193" t="n"/>
      <c r="F105" s="193" t="n"/>
      <c r="G105" s="193" t="n"/>
      <c r="H105" s="193" t="n"/>
      <c r="I105" s="193" t="n"/>
      <c r="J105" s="193" t="n"/>
    </row>
    <row r="106">
      <c r="A106" s="198" t="n">
        <v>12</v>
      </c>
      <c r="B106" s="263" t="inlineStr">
        <is>
          <t>SIEMENS 24VDC PSU</t>
        </is>
      </c>
      <c r="C106" s="263" t="n">
        <v>1</v>
      </c>
      <c r="D106" s="283" t="n"/>
      <c r="E106" s="193" t="n"/>
      <c r="F106" s="193" t="n"/>
      <c r="G106" s="193" t="n"/>
      <c r="H106" s="193" t="n"/>
      <c r="I106" s="193" t="n"/>
      <c r="J106" s="193" t="n"/>
    </row>
    <row r="107">
      <c r="A107" s="198" t="n">
        <v>13</v>
      </c>
      <c r="B107" s="263" t="inlineStr">
        <is>
          <t>SIEMENS BUS CONNECTOR</t>
        </is>
      </c>
      <c r="C107" s="263" t="n">
        <v>7</v>
      </c>
      <c r="D107" s="283" t="n"/>
      <c r="E107" s="193" t="n"/>
      <c r="F107" s="193" t="n"/>
      <c r="G107" s="193" t="n"/>
      <c r="H107" s="193" t="n"/>
      <c r="I107" s="193" t="n"/>
      <c r="J107" s="193" t="n"/>
    </row>
    <row r="108">
      <c r="A108" s="198" t="n">
        <v>14</v>
      </c>
      <c r="B108" s="263" t="inlineStr">
        <is>
          <t>AUMA 24VDC PSU</t>
        </is>
      </c>
      <c r="C108" s="263" t="n">
        <v>1</v>
      </c>
      <c r="D108" s="283" t="n"/>
      <c r="E108" s="193" t="n"/>
      <c r="F108" s="193" t="n"/>
      <c r="G108" s="193" t="n"/>
      <c r="H108" s="193" t="n"/>
      <c r="I108" s="193" t="n"/>
      <c r="J108" s="193" t="n"/>
    </row>
    <row r="109">
      <c r="A109" s="198" t="n">
        <v>15</v>
      </c>
      <c r="B109" s="263" t="inlineStr">
        <is>
          <t>220 VAC RELAY</t>
        </is>
      </c>
      <c r="C109" s="263" t="n">
        <v>4</v>
      </c>
      <c r="D109" s="283" t="n"/>
      <c r="E109" s="193" t="n"/>
      <c r="F109" s="193" t="n"/>
      <c r="G109" s="193" t="n"/>
      <c r="H109" s="193" t="n"/>
      <c r="I109" s="193" t="n"/>
      <c r="J109" s="193" t="n"/>
    </row>
    <row r="110">
      <c r="A110" s="198" t="n">
        <v>16</v>
      </c>
      <c r="B110" s="263" t="inlineStr">
        <is>
          <t>PLC -CPU  CONNECTOR FOR PC</t>
        </is>
      </c>
      <c r="C110" s="263" t="n">
        <v>2</v>
      </c>
      <c r="D110" s="283" t="n"/>
      <c r="E110" s="193" t="n"/>
      <c r="F110" s="193" t="n"/>
      <c r="G110" s="193" t="n"/>
      <c r="H110" s="193" t="n"/>
      <c r="I110" s="193" t="n"/>
      <c r="J110" s="193" t="n"/>
    </row>
    <row r="111">
      <c r="A111" s="198" t="n">
        <v>17</v>
      </c>
      <c r="B111" s="263" t="inlineStr">
        <is>
          <t>220VAC G-50 COIL</t>
        </is>
      </c>
      <c r="C111" s="263" t="n">
        <v>2</v>
      </c>
      <c r="D111" s="283" t="n"/>
      <c r="E111" s="193" t="n"/>
      <c r="F111" s="193" t="n"/>
      <c r="G111" s="193" t="n"/>
      <c r="H111" s="193" t="n"/>
      <c r="I111" s="193" t="n"/>
      <c r="J111" s="193" t="n"/>
    </row>
    <row r="112">
      <c r="A112" s="198" t="n">
        <v>18</v>
      </c>
      <c r="B112" s="263" t="inlineStr">
        <is>
          <t>VGA CABLE</t>
        </is>
      </c>
      <c r="C112" s="263" t="n">
        <v>1</v>
      </c>
      <c r="D112" s="283" t="n"/>
      <c r="E112" s="193" t="n"/>
      <c r="F112" s="193" t="n"/>
      <c r="G112" s="193" t="n"/>
      <c r="H112" s="193" t="n"/>
      <c r="I112" s="193" t="n"/>
      <c r="J112" s="193" t="n"/>
    </row>
    <row r="113">
      <c r="A113" s="198" t="n">
        <v>19</v>
      </c>
      <c r="B113" s="263" t="inlineStr">
        <is>
          <t>MS OFFICE  SOFTWARE CD</t>
        </is>
      </c>
      <c r="C113" s="263" t="n">
        <v>1</v>
      </c>
      <c r="D113" s="283" t="n"/>
      <c r="E113" s="193" t="n"/>
      <c r="F113" s="193" t="n"/>
      <c r="G113" s="193" t="n"/>
      <c r="H113" s="193" t="n"/>
      <c r="I113" s="193" t="n"/>
      <c r="J113" s="193" t="n"/>
    </row>
    <row r="114">
      <c r="A114" s="198" t="n">
        <v>20</v>
      </c>
      <c r="B114" s="263" t="inlineStr">
        <is>
          <t>ABB GAS ANALYZER SOFTWARE CD</t>
        </is>
      </c>
      <c r="C114" s="263" t="n">
        <v>2</v>
      </c>
      <c r="D114" s="283" t="n"/>
      <c r="E114" s="193" t="n"/>
      <c r="F114" s="193" t="n"/>
      <c r="G114" s="193" t="n"/>
      <c r="H114" s="193" t="n"/>
      <c r="I114" s="193" t="n"/>
      <c r="J114" s="193" t="n"/>
    </row>
    <row r="115">
      <c r="A115" s="198" t="n">
        <v>21</v>
      </c>
      <c r="B115" s="263" t="inlineStr">
        <is>
          <t>D-LINK PATCH CORD DUPLEX</t>
        </is>
      </c>
      <c r="C115" s="263" t="n">
        <v>2</v>
      </c>
      <c r="D115" s="283" t="n"/>
      <c r="E115" s="193" t="n"/>
      <c r="F115" s="193" t="n"/>
      <c r="G115" s="193" t="n"/>
      <c r="H115" s="193" t="n"/>
      <c r="I115" s="193" t="n"/>
      <c r="J115" s="193" t="n"/>
    </row>
    <row r="116">
      <c r="A116" s="198" t="n">
        <v>22</v>
      </c>
      <c r="B116" s="263" t="inlineStr">
        <is>
          <t>RS485-RS232 CONVERTER WITH CONNECTER</t>
        </is>
      </c>
      <c r="C116" s="263" t="n">
        <v>1</v>
      </c>
      <c r="D116" s="283" t="n"/>
      <c r="E116" s="193" t="n"/>
      <c r="F116" s="193" t="n"/>
      <c r="G116" s="193" t="n"/>
      <c r="H116" s="193" t="n"/>
      <c r="I116" s="193" t="n"/>
      <c r="J116" s="193" t="n"/>
    </row>
    <row r="117">
      <c r="A117" s="198" t="n">
        <v>23</v>
      </c>
      <c r="B117" s="263" t="inlineStr">
        <is>
          <t>ALL IN ONE CARD READER</t>
        </is>
      </c>
      <c r="C117" s="263" t="n">
        <v>2</v>
      </c>
      <c r="D117" s="283" t="n"/>
      <c r="E117" s="193" t="n"/>
      <c r="F117" s="193" t="n"/>
      <c r="G117" s="193" t="n"/>
      <c r="H117" s="193" t="n"/>
      <c r="I117" s="193" t="n"/>
      <c r="J117" s="193" t="n"/>
    </row>
    <row r="118">
      <c r="A118" s="198" t="n">
        <v>24</v>
      </c>
      <c r="B118" s="263" t="inlineStr">
        <is>
          <t xml:space="preserve">AC REMOTE </t>
        </is>
      </c>
      <c r="C118" s="263" t="n">
        <v>3</v>
      </c>
      <c r="D118" s="283" t="n"/>
      <c r="E118" s="193" t="n"/>
      <c r="F118" s="193" t="n"/>
      <c r="G118" s="193" t="n"/>
      <c r="H118" s="193" t="n"/>
      <c r="I118" s="193" t="n"/>
      <c r="J118" s="193" t="n"/>
    </row>
    <row r="119">
      <c r="A119" s="198" t="n">
        <v>25</v>
      </c>
      <c r="B119" s="263" t="inlineStr">
        <is>
          <t>24VDC SOV FOR LPG  LINE IN HGG</t>
        </is>
      </c>
      <c r="C119" s="263" t="n">
        <v>1</v>
      </c>
      <c r="D119" s="283" t="n"/>
      <c r="E119" s="193" t="n"/>
      <c r="F119" s="193" t="n"/>
      <c r="G119" s="193" t="n"/>
      <c r="H119" s="193" t="n"/>
      <c r="I119" s="193" t="n"/>
      <c r="J119" s="193" t="n"/>
    </row>
    <row r="120">
      <c r="A120" s="198" t="n">
        <v>26</v>
      </c>
      <c r="B120" s="263" t="inlineStr">
        <is>
          <t>DISOMAT SOFTWARE CD</t>
        </is>
      </c>
      <c r="C120" s="263" t="n">
        <v>5</v>
      </c>
      <c r="D120" s="283" t="n"/>
      <c r="E120" s="193" t="n"/>
      <c r="F120" s="193" t="n"/>
      <c r="G120" s="193" t="n"/>
      <c r="H120" s="193" t="n"/>
      <c r="I120" s="193" t="n"/>
      <c r="J120" s="193" t="n"/>
    </row>
    <row r="121">
      <c r="A121" s="198" t="n">
        <v>27</v>
      </c>
      <c r="B121" s="263" t="inlineStr">
        <is>
          <t>ANCHOR SPIKE GUARD</t>
        </is>
      </c>
      <c r="C121" s="263" t="n">
        <v>1</v>
      </c>
      <c r="D121" s="283" t="n"/>
      <c r="E121" s="193" t="n"/>
      <c r="F121" s="193" t="n"/>
      <c r="G121" s="193" t="n"/>
      <c r="H121" s="193" t="n"/>
      <c r="I121" s="193" t="n"/>
      <c r="J121" s="193" t="n"/>
    </row>
    <row r="122">
      <c r="A122" s="198" t="n">
        <v>28</v>
      </c>
      <c r="B122" s="263" t="inlineStr">
        <is>
          <t>SCHENCK PROCESS WEIGH FEEDER ELECTRONIC CARD</t>
        </is>
      </c>
      <c r="C122" s="263" t="n">
        <v>1</v>
      </c>
      <c r="D122" s="283" t="n"/>
      <c r="E122" s="193" t="n"/>
      <c r="F122" s="193" t="n"/>
      <c r="G122" s="193" t="n"/>
      <c r="H122" s="193" t="n"/>
      <c r="I122" s="193" t="n"/>
      <c r="J122" s="193" t="n"/>
    </row>
    <row r="123">
      <c r="A123" s="198" t="n">
        <v>29</v>
      </c>
      <c r="B123" s="263" t="inlineStr">
        <is>
          <t>UPS KEY</t>
        </is>
      </c>
      <c r="C123" s="263" t="n">
        <v>2</v>
      </c>
      <c r="D123" s="283" t="n"/>
      <c r="E123" s="193" t="n"/>
      <c r="F123" s="193" t="n"/>
      <c r="G123" s="193" t="n"/>
      <c r="H123" s="193" t="n"/>
      <c r="I123" s="193" t="n"/>
      <c r="J123" s="193" t="n"/>
    </row>
    <row r="124">
      <c r="A124" s="198" t="n">
        <v>30</v>
      </c>
      <c r="B124" s="263" t="inlineStr">
        <is>
          <t>PA SYSTEM TABLE TOP</t>
        </is>
      </c>
      <c r="C124" s="263" t="n">
        <v>1</v>
      </c>
      <c r="D124" s="283" t="n"/>
      <c r="E124" s="193" t="n"/>
      <c r="F124" s="193" t="n"/>
      <c r="G124" s="193" t="n"/>
      <c r="H124" s="193" t="n"/>
      <c r="I124" s="193" t="n"/>
      <c r="J124" s="193" t="n"/>
    </row>
    <row r="125">
      <c r="A125" s="198" t="n">
        <v>31</v>
      </c>
      <c r="B125" s="263" t="inlineStr">
        <is>
          <t>HART</t>
        </is>
      </c>
      <c r="C125" s="263" t="n">
        <v>1</v>
      </c>
      <c r="D125" s="283" t="n"/>
      <c r="E125" s="193" t="n"/>
      <c r="F125" s="193" t="n"/>
      <c r="G125" s="193" t="n"/>
      <c r="H125" s="193" t="n"/>
      <c r="I125" s="193" t="n"/>
      <c r="J125" s="193" t="n"/>
    </row>
    <row r="126">
      <c r="A126" s="198" t="n">
        <v>32</v>
      </c>
      <c r="B126" s="263" t="inlineStr">
        <is>
          <t>MASIBUS SOURCE (ma &amp; mv)</t>
        </is>
      </c>
      <c r="C126" s="263" t="n">
        <v>1</v>
      </c>
      <c r="D126" s="283" t="n"/>
      <c r="E126" s="193" t="n"/>
      <c r="F126" s="193" t="n"/>
      <c r="G126" s="193" t="n"/>
      <c r="H126" s="193" t="n"/>
      <c r="I126" s="193" t="n"/>
      <c r="J126" s="193" t="n"/>
    </row>
    <row r="127">
      <c r="A127" s="198" t="n">
        <v>33</v>
      </c>
      <c r="B127" s="263" t="inlineStr">
        <is>
          <t>MANNUALS &amp; DRAWINGS</t>
        </is>
      </c>
      <c r="C127" s="263" t="n"/>
      <c r="D127" s="283" t="n"/>
      <c r="E127" s="193" t="n"/>
      <c r="F127" s="193" t="n"/>
      <c r="G127" s="193" t="n"/>
      <c r="H127" s="193" t="n"/>
      <c r="I127" s="193" t="n"/>
      <c r="J127" s="193" t="n"/>
    </row>
    <row r="128" ht="19.5" customHeight="1" s="126" thickBot="1">
      <c r="A128" s="198" t="n">
        <v>34</v>
      </c>
      <c r="B128" s="263" t="inlineStr">
        <is>
          <t>MANNUALS &amp; DRAWINGS</t>
        </is>
      </c>
      <c r="C128" s="263" t="n"/>
      <c r="D128" s="281" t="n"/>
      <c r="E128" s="193" t="n"/>
      <c r="F128" s="193" t="n"/>
      <c r="G128" s="193" t="n"/>
      <c r="H128" s="193" t="n"/>
      <c r="I128" s="193" t="n"/>
      <c r="J128" s="193" t="n"/>
    </row>
    <row r="129" ht="19.5" customHeight="1" s="126" thickBot="1">
      <c r="A129" s="200" t="inlineStr">
        <is>
          <t>SL no</t>
        </is>
      </c>
      <c r="B129" s="196" t="inlineStr">
        <is>
          <t>Description</t>
        </is>
      </c>
      <c r="C129" s="196" t="inlineStr">
        <is>
          <t>Qty</t>
        </is>
      </c>
      <c r="D129" s="197" t="inlineStr">
        <is>
          <t>Location</t>
        </is>
      </c>
      <c r="E129" s="193" t="n"/>
      <c r="F129" s="193" t="n"/>
      <c r="G129" s="193" t="n"/>
      <c r="H129" s="193" t="n"/>
      <c r="I129" s="193" t="n"/>
      <c r="J129" s="193" t="n"/>
    </row>
    <row r="130">
      <c r="A130" s="263" t="n">
        <v>1</v>
      </c>
      <c r="B130" s="263" t="inlineStr">
        <is>
          <t xml:space="preserve">FSV-506 PNEUMATIC BUTTERFLY VALVE - DN250 </t>
        </is>
      </c>
      <c r="C130" s="263" t="n">
        <v>1</v>
      </c>
      <c r="D130" s="263" t="inlineStr">
        <is>
          <t>IN STORE</t>
        </is>
      </c>
      <c r="E130" s="193" t="n"/>
      <c r="F130" s="193" t="n"/>
      <c r="G130" s="193" t="n"/>
      <c r="H130" s="193" t="n"/>
      <c r="I130" s="193" t="n"/>
      <c r="J130" s="193" t="n"/>
    </row>
    <row r="131">
      <c r="A131" s="263" t="n">
        <v>2</v>
      </c>
      <c r="B131" s="263" t="inlineStr">
        <is>
          <t>FSV502/511 PNEUMATIC BALL VALVE -DN25</t>
        </is>
      </c>
      <c r="C131" s="263" t="n">
        <v>5</v>
      </c>
      <c r="D131" s="275" t="inlineStr">
        <is>
          <t>ANALYSER ROOM</t>
        </is>
      </c>
      <c r="E131" s="193" t="n"/>
      <c r="F131" s="193" t="n"/>
      <c r="G131" s="193" t="n"/>
      <c r="H131" s="193" t="n"/>
      <c r="I131" s="193" t="n"/>
      <c r="J131" s="193" t="n"/>
    </row>
    <row r="132">
      <c r="A132" s="263" t="n">
        <v>3</v>
      </c>
      <c r="B132" s="263" t="inlineStr">
        <is>
          <t>FSV-512 PNEUMATIC  3 WAY BALL VALVE -DN25</t>
        </is>
      </c>
      <c r="C132" s="263" t="n">
        <v>3</v>
      </c>
      <c r="D132" s="283" t="n"/>
      <c r="E132" s="193" t="n"/>
      <c r="F132" s="193" t="n"/>
      <c r="G132" s="193" t="n"/>
      <c r="H132" s="193" t="n"/>
      <c r="I132" s="193" t="n"/>
      <c r="J132" s="193" t="n"/>
    </row>
    <row r="133">
      <c r="A133" s="263" t="n">
        <v>4</v>
      </c>
      <c r="B133" s="263" t="inlineStr">
        <is>
          <t>FSV-507/508 PNEUMATIC BALL VALVE -DN40</t>
        </is>
      </c>
      <c r="C133" s="263" t="n">
        <v>6</v>
      </c>
      <c r="D133" s="283" t="n"/>
      <c r="E133" s="193" t="n"/>
      <c r="F133" s="193" t="n"/>
      <c r="G133" s="193" t="n"/>
      <c r="H133" s="193" t="n"/>
      <c r="I133" s="193" t="n"/>
      <c r="J133" s="193" t="n"/>
    </row>
    <row r="134">
      <c r="A134" s="263" t="n">
        <v>5</v>
      </c>
      <c r="B134" s="263" t="inlineStr">
        <is>
          <t>FSV401/402PNEUMATIC BALL VALVE -DN500</t>
        </is>
      </c>
      <c r="C134" s="263" t="n">
        <v>3</v>
      </c>
      <c r="D134" s="283" t="n"/>
      <c r="E134" s="193" t="n"/>
      <c r="F134" s="193" t="n"/>
      <c r="G134" s="193" t="n"/>
      <c r="H134" s="193" t="n"/>
      <c r="I134" s="193" t="n"/>
      <c r="J134" s="193" t="n"/>
    </row>
    <row r="135">
      <c r="A135" s="263" t="n">
        <v>6</v>
      </c>
      <c r="B135" s="263" t="inlineStr">
        <is>
          <t>FSV-509/535PNEUMATIC BALL VALVE -DN50</t>
        </is>
      </c>
      <c r="C135" s="263" t="n">
        <v>2</v>
      </c>
      <c r="D135" s="283" t="n"/>
      <c r="E135" s="193" t="n"/>
      <c r="F135" s="193" t="n"/>
      <c r="G135" s="193" t="n"/>
      <c r="H135" s="193" t="n"/>
      <c r="I135" s="193" t="n"/>
      <c r="J135" s="193" t="n"/>
    </row>
    <row r="136">
      <c r="A136" s="263" t="n">
        <v>7</v>
      </c>
      <c r="B136" s="263" t="inlineStr">
        <is>
          <t>FCV-502PNEUMATIC BALL VALVE -DN40</t>
        </is>
      </c>
      <c r="C136" s="263" t="n">
        <v>1</v>
      </c>
      <c r="D136" s="283" t="n"/>
      <c r="E136" s="193" t="n"/>
      <c r="F136" s="193" t="n"/>
      <c r="G136" s="193" t="n"/>
      <c r="H136" s="193" t="n"/>
      <c r="I136" s="193" t="n"/>
      <c r="J136" s="193" t="n"/>
    </row>
    <row r="137">
      <c r="A137" s="263" t="n">
        <v>8</v>
      </c>
      <c r="B137" s="263" t="inlineStr">
        <is>
          <t>FCV-501 PNEUMATIC BALL VALVE -DN80</t>
        </is>
      </c>
      <c r="C137" s="263" t="n">
        <v>1</v>
      </c>
      <c r="D137" s="281" t="n"/>
      <c r="E137" s="193" t="n"/>
      <c r="F137" s="193" t="n"/>
      <c r="G137" s="193" t="n"/>
      <c r="H137" s="193" t="n"/>
      <c r="I137" s="193" t="n"/>
      <c r="J137" s="193" t="n"/>
    </row>
  </sheetData>
  <mergeCells count="8">
    <mergeCell ref="D56:D84"/>
    <mergeCell ref="A1:J1"/>
    <mergeCell ref="D48:D54"/>
    <mergeCell ref="D16:D46"/>
    <mergeCell ref="D131:D137"/>
    <mergeCell ref="D3:D14"/>
    <mergeCell ref="D86:D93"/>
    <mergeCell ref="D95:D128"/>
  </mergeCells>
  <pageMargins left="0.7" right="0.7" top="0.75" bottom="0.75" header="0.3" footer="0.3"/>
  <pageSetup orientation="portrait" scale="27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workbookViewId="0">
      <selection activeCell="P5" sqref="P5"/>
    </sheetView>
  </sheetViews>
  <sheetFormatPr baseColWidth="8" defaultRowHeight="15"/>
  <cols>
    <col width="6.85546875" customWidth="1" style="162" min="1" max="1"/>
    <col width="30.28515625" customWidth="1" style="105" min="2" max="2"/>
    <col width="7" customWidth="1" style="105" min="3" max="3"/>
    <col width="9.7109375" customWidth="1" style="105" min="4" max="4"/>
    <col width="9.140625" customWidth="1" style="105" min="5" max="5"/>
    <col width="13.85546875" customWidth="1" style="105" min="6" max="6"/>
    <col width="24.5703125" customWidth="1" style="105" min="7" max="7"/>
    <col width="6.7109375" customWidth="1" style="162" min="8" max="8"/>
    <col width="6.42578125" customWidth="1" style="162" min="9" max="10"/>
    <col width="6.140625" customWidth="1" style="162" min="11" max="11"/>
    <col width="5.85546875" customWidth="1" style="162" min="12" max="12"/>
    <col width="6.28515625" customWidth="1" style="162" min="13" max="13"/>
    <col width="6.7109375" customWidth="1" style="162" min="14" max="14"/>
  </cols>
  <sheetData>
    <row r="1" ht="27.75" customHeight="1" s="126">
      <c r="A1" s="276" t="inlineStr">
        <is>
          <t>AIR COMPRESSOR SPARES</t>
        </is>
      </c>
      <c r="B1" s="277" t="n"/>
      <c r="C1" s="277" t="n"/>
      <c r="D1" s="277" t="n"/>
      <c r="E1" s="277" t="n"/>
      <c r="F1" s="277" t="n"/>
      <c r="G1" s="277" t="n"/>
      <c r="H1" s="277" t="n"/>
      <c r="I1" s="277" t="n"/>
      <c r="J1" s="277" t="n"/>
      <c r="K1" s="277" t="n"/>
      <c r="L1" s="277" t="n"/>
      <c r="M1" s="277" t="n"/>
      <c r="N1" s="278" t="n"/>
    </row>
    <row r="2" ht="30" customHeight="1" s="126">
      <c r="A2" s="103" t="inlineStr">
        <is>
          <t>SNO</t>
        </is>
      </c>
      <c r="B2" s="103" t="inlineStr">
        <is>
          <t>SHORT DESCRIPTION</t>
        </is>
      </c>
      <c r="C2" s="103" t="inlineStr">
        <is>
          <t>TAG</t>
        </is>
      </c>
      <c r="D2" s="104" t="inlineStr">
        <is>
          <t xml:space="preserve"> Qty Instld</t>
        </is>
      </c>
      <c r="E2" s="104" t="inlineStr">
        <is>
          <t>Qty Req</t>
        </is>
      </c>
      <c r="F2" s="103" t="inlineStr">
        <is>
          <t>Item</t>
        </is>
      </c>
      <c r="G2" s="103" t="inlineStr">
        <is>
          <t>Specification</t>
        </is>
      </c>
      <c r="H2" s="122" t="inlineStr">
        <is>
          <t xml:space="preserve">Qty </t>
        </is>
      </c>
      <c r="I2" s="122" t="inlineStr">
        <is>
          <t>JUL</t>
        </is>
      </c>
      <c r="J2" s="122" t="inlineStr">
        <is>
          <t>AUG</t>
        </is>
      </c>
      <c r="K2" s="122" t="inlineStr">
        <is>
          <t>SEP</t>
        </is>
      </c>
      <c r="L2" s="122" t="inlineStr">
        <is>
          <t>OCT</t>
        </is>
      </c>
      <c r="M2" s="122" t="inlineStr">
        <is>
          <t>NOV</t>
        </is>
      </c>
      <c r="N2" s="122" t="inlineStr">
        <is>
          <t>DEC</t>
        </is>
      </c>
    </row>
    <row r="3" ht="24" customHeight="1" s="126">
      <c r="A3" s="162" t="n">
        <v>1</v>
      </c>
      <c r="B3" s="248" t="inlineStr">
        <is>
          <t>SOLENOID VALVE FOR LOAD</t>
        </is>
      </c>
      <c r="C3" s="248" t="inlineStr">
        <is>
          <t>1SV</t>
        </is>
      </c>
      <c r="D3" s="248" t="n">
        <v>2</v>
      </c>
      <c r="E3" s="248" t="n">
        <v>1</v>
      </c>
      <c r="F3" s="248" t="inlineStr">
        <is>
          <t>SOV</t>
        </is>
      </c>
      <c r="G3" s="248" t="n"/>
      <c r="H3" s="270" t="n"/>
      <c r="I3" s="270" t="n"/>
      <c r="J3" s="270" t="n"/>
      <c r="K3" s="270" t="n"/>
      <c r="L3" s="270" t="n"/>
      <c r="M3" s="270" t="n"/>
      <c r="N3" s="270" t="n"/>
    </row>
    <row r="4" ht="23.25" customHeight="1" s="126">
      <c r="A4" s="162" t="n">
        <v>2</v>
      </c>
      <c r="B4" s="248" t="inlineStr">
        <is>
          <t>DISCHARGE CONDENSATE VALVE</t>
        </is>
      </c>
      <c r="C4" s="248" t="inlineStr">
        <is>
          <t>6SV</t>
        </is>
      </c>
      <c r="D4" s="248" t="n">
        <v>2</v>
      </c>
      <c r="E4" s="248" t="n">
        <v>1</v>
      </c>
      <c r="F4" s="248" t="inlineStr">
        <is>
          <t>SOV</t>
        </is>
      </c>
      <c r="G4" s="248" t="n"/>
      <c r="H4" s="270" t="n"/>
      <c r="I4" s="270" t="n"/>
      <c r="J4" s="270" t="n"/>
      <c r="K4" s="270" t="n"/>
      <c r="L4" s="270" t="n"/>
      <c r="M4" s="270" t="n"/>
      <c r="N4" s="270" t="n"/>
    </row>
    <row r="5" ht="27" customHeight="1" s="126">
      <c r="A5" s="162" t="n">
        <v>3</v>
      </c>
      <c r="B5" s="248" t="inlineStr">
        <is>
          <t>DISCHARGE CONDENSATE VALVE</t>
        </is>
      </c>
      <c r="C5" s="248" t="inlineStr">
        <is>
          <t>9SV</t>
        </is>
      </c>
      <c r="D5" s="248" t="n">
        <v>2</v>
      </c>
      <c r="E5" s="248" t="n">
        <v>1</v>
      </c>
      <c r="F5" s="248" t="inlineStr">
        <is>
          <t>SOV</t>
        </is>
      </c>
      <c r="G5" s="248" t="n"/>
      <c r="H5" s="270" t="n"/>
      <c r="I5" s="270" t="n"/>
      <c r="J5" s="270" t="n"/>
      <c r="K5" s="270" t="n"/>
      <c r="L5" s="270" t="n"/>
      <c r="M5" s="270" t="n"/>
      <c r="N5" s="270" t="n"/>
    </row>
    <row r="6" ht="30" customHeight="1" s="126">
      <c r="A6" s="162" t="n">
        <v>4</v>
      </c>
      <c r="B6" s="248" t="inlineStr">
        <is>
          <t>PRESSURE TRANSDUCER FOR INLET VACCUM</t>
        </is>
      </c>
      <c r="C6" s="248" t="inlineStr">
        <is>
          <t>1AVPT</t>
        </is>
      </c>
      <c r="D6" s="248" t="n">
        <v>2</v>
      </c>
      <c r="E6" s="248" t="n">
        <v>1</v>
      </c>
      <c r="F6" s="248" t="inlineStr">
        <is>
          <t>PT</t>
        </is>
      </c>
      <c r="G6" s="248" t="n"/>
      <c r="H6" s="270" t="n"/>
      <c r="I6" s="270" t="n"/>
      <c r="J6" s="270" t="n"/>
      <c r="K6" s="270" t="n"/>
      <c r="L6" s="270" t="n"/>
      <c r="M6" s="270" t="n"/>
      <c r="N6" s="270" t="n"/>
    </row>
    <row r="7">
      <c r="A7" s="162" t="n">
        <v>5</v>
      </c>
      <c r="B7" s="248" t="inlineStr">
        <is>
          <t>2ND STAGE INLET PRESSURE</t>
        </is>
      </c>
      <c r="C7" s="248" t="inlineStr">
        <is>
          <t>2APT</t>
        </is>
      </c>
      <c r="D7" s="248" t="n">
        <v>2</v>
      </c>
      <c r="E7" s="248" t="n">
        <v>1</v>
      </c>
      <c r="F7" s="248" t="inlineStr">
        <is>
          <t>PT</t>
        </is>
      </c>
      <c r="G7" s="248" t="n"/>
      <c r="H7" s="270" t="n"/>
      <c r="I7" s="270" t="n"/>
      <c r="J7" s="270" t="n"/>
      <c r="K7" s="270" t="n"/>
      <c r="L7" s="270" t="n"/>
      <c r="M7" s="270" t="n"/>
      <c r="N7" s="270" t="n"/>
    </row>
    <row r="8" ht="30" customHeight="1" s="126">
      <c r="A8" s="162" t="n">
        <v>6</v>
      </c>
      <c r="B8" s="248" t="inlineStr">
        <is>
          <t>2ND STAGE DISCHARGE PRESSURE</t>
        </is>
      </c>
      <c r="C8" s="248" t="inlineStr">
        <is>
          <t>3APT</t>
        </is>
      </c>
      <c r="D8" s="248" t="n">
        <v>2</v>
      </c>
      <c r="E8" s="248" t="n">
        <v>1</v>
      </c>
      <c r="F8" s="248" t="inlineStr">
        <is>
          <t>PT</t>
        </is>
      </c>
      <c r="G8" s="248" t="n"/>
      <c r="H8" s="270" t="n"/>
      <c r="I8" s="270" t="n"/>
      <c r="J8" s="270" t="n"/>
      <c r="K8" s="270" t="n"/>
      <c r="L8" s="270" t="n"/>
      <c r="M8" s="270" t="n"/>
      <c r="N8" s="270" t="n"/>
    </row>
    <row r="9">
      <c r="A9" s="162" t="n">
        <v>7</v>
      </c>
      <c r="B9" s="248" t="inlineStr">
        <is>
          <t>PACKAGE DISCHARGE PRESSURE</t>
        </is>
      </c>
      <c r="C9" s="248" t="inlineStr">
        <is>
          <t>4APT</t>
        </is>
      </c>
      <c r="D9" s="248" t="n">
        <v>2</v>
      </c>
      <c r="E9" s="248" t="n">
        <v>1</v>
      </c>
      <c r="F9" s="248" t="inlineStr">
        <is>
          <t>PT</t>
        </is>
      </c>
      <c r="G9" s="248" t="n"/>
      <c r="H9" s="270" t="n"/>
      <c r="I9" s="270" t="n"/>
      <c r="J9" s="270" t="n"/>
      <c r="K9" s="270" t="n"/>
      <c r="L9" s="270" t="n"/>
      <c r="M9" s="270" t="n"/>
      <c r="N9" s="270" t="n"/>
    </row>
    <row r="10">
      <c r="A10" s="162" t="n">
        <v>8</v>
      </c>
      <c r="B10" s="248" t="inlineStr">
        <is>
          <t>OIL FILTER INLET PRESSURE</t>
        </is>
      </c>
      <c r="C10" s="248" t="inlineStr">
        <is>
          <t>5OPT</t>
        </is>
      </c>
      <c r="D10" s="248" t="n">
        <v>2</v>
      </c>
      <c r="E10" s="248" t="n">
        <v>1</v>
      </c>
      <c r="F10" s="248" t="inlineStr">
        <is>
          <t>PT</t>
        </is>
      </c>
      <c r="G10" s="248" t="n"/>
      <c r="H10" s="270" t="n"/>
      <c r="I10" s="270" t="n"/>
      <c r="J10" s="270" t="n"/>
      <c r="K10" s="270" t="n"/>
      <c r="L10" s="270" t="n"/>
      <c r="M10" s="270" t="n"/>
      <c r="N10" s="270" t="n"/>
    </row>
    <row r="11">
      <c r="A11" s="162" t="n">
        <v>9</v>
      </c>
      <c r="B11" s="248" t="inlineStr">
        <is>
          <t>BEARING OIL PRESSURE</t>
        </is>
      </c>
      <c r="C11" s="248" t="inlineStr">
        <is>
          <t>6OPT</t>
        </is>
      </c>
      <c r="D11" s="248" t="n">
        <v>2</v>
      </c>
      <c r="E11" s="248" t="n">
        <v>1</v>
      </c>
      <c r="F11" s="248" t="inlineStr">
        <is>
          <t>PT</t>
        </is>
      </c>
      <c r="G11" s="248" t="n"/>
      <c r="H11" s="270" t="n"/>
      <c r="I11" s="270" t="n"/>
      <c r="J11" s="270" t="n"/>
      <c r="K11" s="270" t="n"/>
      <c r="L11" s="270" t="n"/>
      <c r="M11" s="270" t="n"/>
      <c r="N11" s="270" t="n"/>
    </row>
    <row r="12" ht="30" customHeight="1" s="126">
      <c r="A12" s="162" t="n">
        <v>10</v>
      </c>
      <c r="B12" s="248" t="inlineStr">
        <is>
          <t>1ST STAGE DISCHARGE TEMPERATURE</t>
        </is>
      </c>
      <c r="C12" s="248" t="inlineStr">
        <is>
          <t>2ATT</t>
        </is>
      </c>
      <c r="D12" s="248" t="n">
        <v>2</v>
      </c>
      <c r="E12" s="248" t="n">
        <v>1</v>
      </c>
      <c r="F12" s="248" t="inlineStr">
        <is>
          <t>TT</t>
        </is>
      </c>
      <c r="G12" s="248" t="n"/>
      <c r="H12" s="270" t="n"/>
      <c r="I12" s="270" t="n"/>
      <c r="J12" s="270" t="n"/>
      <c r="K12" s="270" t="n"/>
      <c r="L12" s="270" t="n"/>
      <c r="M12" s="270" t="n"/>
      <c r="N12" s="270" t="n"/>
    </row>
    <row r="13">
      <c r="A13" s="162" t="n">
        <v>11</v>
      </c>
      <c r="B13" s="248" t="inlineStr">
        <is>
          <t>2ND STAGE INLET TEMPERATURE</t>
        </is>
      </c>
      <c r="C13" s="248" t="inlineStr">
        <is>
          <t>3ATT</t>
        </is>
      </c>
      <c r="D13" s="248" t="n">
        <v>2</v>
      </c>
      <c r="E13" s="248" t="n">
        <v>1</v>
      </c>
      <c r="F13" s="248" t="inlineStr">
        <is>
          <t>TT</t>
        </is>
      </c>
      <c r="G13" s="248" t="n"/>
      <c r="H13" s="270" t="n"/>
      <c r="I13" s="270" t="n"/>
      <c r="J13" s="270" t="n"/>
      <c r="K13" s="270" t="n"/>
      <c r="L13" s="270" t="n"/>
      <c r="M13" s="270" t="n"/>
      <c r="N13" s="270" t="n"/>
    </row>
    <row r="14" ht="30" customHeight="1" s="126">
      <c r="A14" s="162" t="n">
        <v>12</v>
      </c>
      <c r="B14" s="248" t="inlineStr">
        <is>
          <t>2ND STAGE DISCHARGE TEMPERATURE</t>
        </is>
      </c>
      <c r="C14" s="248" t="inlineStr">
        <is>
          <t>4ATT</t>
        </is>
      </c>
      <c r="D14" s="248" t="n">
        <v>2</v>
      </c>
      <c r="E14" s="248" t="n">
        <v>1</v>
      </c>
      <c r="F14" s="248" t="inlineStr">
        <is>
          <t>TT</t>
        </is>
      </c>
      <c r="G14" s="248" t="n"/>
      <c r="H14" s="270" t="n"/>
      <c r="I14" s="270" t="n"/>
      <c r="J14" s="270" t="n"/>
      <c r="K14" s="270" t="n"/>
      <c r="L14" s="270" t="n"/>
      <c r="M14" s="270" t="n"/>
      <c r="N14" s="270" t="n"/>
    </row>
    <row r="15">
      <c r="A15" s="162" t="n">
        <v>13</v>
      </c>
      <c r="B15" s="248" t="inlineStr">
        <is>
          <t>BEARING OIL TEMPERATURE</t>
        </is>
      </c>
      <c r="C15" s="248" t="inlineStr">
        <is>
          <t>5OTT</t>
        </is>
      </c>
      <c r="D15" s="248" t="n">
        <v>2</v>
      </c>
      <c r="E15" s="248" t="n">
        <v>1</v>
      </c>
      <c r="F15" s="248" t="inlineStr">
        <is>
          <t>TT</t>
        </is>
      </c>
      <c r="G15" s="248" t="n"/>
      <c r="H15" s="270" t="n"/>
      <c r="I15" s="270" t="n"/>
      <c r="J15" s="270" t="n"/>
      <c r="K15" s="270" t="n"/>
      <c r="L15" s="270" t="n"/>
      <c r="M15" s="270" t="n"/>
      <c r="N15" s="270" t="n"/>
    </row>
    <row r="16" ht="30" customHeight="1" s="126">
      <c r="A16" s="162" t="n">
        <v>14</v>
      </c>
      <c r="B16" s="248" t="inlineStr">
        <is>
          <t>PACKAGE DISCHARGE TEMPERATURE</t>
        </is>
      </c>
      <c r="C16" s="248" t="inlineStr">
        <is>
          <t>7ATT</t>
        </is>
      </c>
      <c r="D16" s="248" t="n">
        <v>2</v>
      </c>
      <c r="E16" s="248" t="n">
        <v>1</v>
      </c>
      <c r="F16" s="248" t="inlineStr">
        <is>
          <t>TT</t>
        </is>
      </c>
      <c r="G16" s="248" t="n"/>
      <c r="H16" s="270" t="n"/>
      <c r="I16" s="270" t="n"/>
      <c r="J16" s="270" t="n"/>
      <c r="K16" s="270" t="n"/>
      <c r="L16" s="270" t="n"/>
      <c r="M16" s="270" t="n"/>
      <c r="N16" s="270" t="n"/>
    </row>
    <row r="17">
      <c r="A17" s="162" t="n">
        <v>15</v>
      </c>
      <c r="B17" s="248" t="inlineStr">
        <is>
          <t>AIR DRYER TEMP PROBE -1</t>
        </is>
      </c>
      <c r="C17" s="248" t="inlineStr">
        <is>
          <t>PB1</t>
        </is>
      </c>
      <c r="D17" s="248" t="n">
        <v>2</v>
      </c>
      <c r="E17" s="248" t="n">
        <v>1</v>
      </c>
      <c r="F17" s="248" t="inlineStr">
        <is>
          <t>THERMOSTAT</t>
        </is>
      </c>
      <c r="G17" s="248" t="n"/>
      <c r="H17" s="270" t="n"/>
      <c r="I17" s="270" t="n"/>
      <c r="J17" s="270" t="n"/>
      <c r="K17" s="270" t="n"/>
      <c r="L17" s="270" t="n"/>
      <c r="M17" s="270" t="n"/>
      <c r="N17" s="270" t="n"/>
    </row>
    <row r="18">
      <c r="A18" s="162" t="n">
        <v>16</v>
      </c>
      <c r="B18" s="248" t="inlineStr">
        <is>
          <t>AIR DRYER TEMP PROBE -2</t>
        </is>
      </c>
      <c r="C18" s="248" t="inlineStr">
        <is>
          <t>PB2</t>
        </is>
      </c>
      <c r="D18" s="248" t="n">
        <v>2</v>
      </c>
      <c r="E18" s="248" t="n">
        <v>1</v>
      </c>
      <c r="F18" s="248" t="inlineStr">
        <is>
          <t>THERMOSTAT</t>
        </is>
      </c>
      <c r="G18" s="248" t="n"/>
      <c r="H18" s="270" t="n"/>
      <c r="I18" s="270" t="n"/>
      <c r="J18" s="270" t="n"/>
      <c r="K18" s="270" t="n"/>
      <c r="L18" s="270" t="n"/>
      <c r="M18" s="270" t="n"/>
      <c r="N18" s="270" t="n"/>
    </row>
    <row r="19">
      <c r="A19" s="162" t="n">
        <v>17</v>
      </c>
      <c r="B19" s="248" t="inlineStr">
        <is>
          <t>AIR DRYER TEMP PROBE -3</t>
        </is>
      </c>
      <c r="C19" s="248" t="inlineStr">
        <is>
          <t>PB3</t>
        </is>
      </c>
      <c r="D19" s="248" t="n">
        <v>2</v>
      </c>
      <c r="E19" s="248" t="n">
        <v>1</v>
      </c>
      <c r="F19" s="248" t="inlineStr">
        <is>
          <t>THERMOSTAT</t>
        </is>
      </c>
      <c r="G19" s="248" t="n"/>
      <c r="H19" s="270" t="n"/>
      <c r="I19" s="270" t="n"/>
      <c r="J19" s="270" t="n"/>
      <c r="K19" s="270" t="n"/>
      <c r="L19" s="270" t="n"/>
      <c r="M19" s="270" t="n"/>
      <c r="N19" s="270" t="n"/>
    </row>
    <row r="20">
      <c r="A20" s="162" t="n">
        <v>18</v>
      </c>
      <c r="B20" s="248" t="inlineStr">
        <is>
          <t>AIR DRYER TEMP PROBE -4</t>
        </is>
      </c>
      <c r="C20" s="248" t="inlineStr">
        <is>
          <t>PB4</t>
        </is>
      </c>
      <c r="D20" s="248" t="n">
        <v>2</v>
      </c>
      <c r="E20" s="248" t="n">
        <v>1</v>
      </c>
      <c r="F20" s="248" t="inlineStr">
        <is>
          <t>THERMOSTAT</t>
        </is>
      </c>
      <c r="G20" s="248" t="n"/>
      <c r="H20" s="270" t="n"/>
      <c r="I20" s="270" t="n"/>
      <c r="J20" s="270" t="n"/>
      <c r="K20" s="270" t="n"/>
      <c r="L20" s="270" t="n"/>
      <c r="M20" s="270" t="n"/>
      <c r="N20" s="270" t="n"/>
    </row>
    <row r="21">
      <c r="A21" s="162" t="n">
        <v>19</v>
      </c>
      <c r="B21" s="248" t="inlineStr">
        <is>
          <t>FAN PRESSURE SWITCH</t>
        </is>
      </c>
      <c r="C21" s="248" t="inlineStr">
        <is>
          <t>FPS</t>
        </is>
      </c>
      <c r="D21" s="248" t="n">
        <v>2</v>
      </c>
      <c r="E21" s="248" t="n">
        <v>1</v>
      </c>
      <c r="F21" s="248" t="inlineStr">
        <is>
          <t>PS</t>
        </is>
      </c>
      <c r="G21" s="248" t="n"/>
      <c r="H21" s="270" t="n"/>
      <c r="I21" s="270" t="n"/>
      <c r="J21" s="270" t="n"/>
      <c r="K21" s="270" t="n"/>
      <c r="L21" s="270" t="n"/>
      <c r="M21" s="270" t="n"/>
      <c r="N21" s="270" t="n"/>
    </row>
    <row r="22">
      <c r="A22" s="162" t="n">
        <v>20</v>
      </c>
      <c r="B22" s="248" t="inlineStr">
        <is>
          <t>COMPRESSOR THERMAL SWITCH</t>
        </is>
      </c>
      <c r="C22" s="248" t="inlineStr">
        <is>
          <t>CTS</t>
        </is>
      </c>
      <c r="D22" s="248" t="n">
        <v>2</v>
      </c>
      <c r="E22" s="248" t="n">
        <v>1</v>
      </c>
      <c r="F22" s="248" t="inlineStr">
        <is>
          <t>TS</t>
        </is>
      </c>
      <c r="G22" s="248" t="n"/>
      <c r="H22" s="270" t="n"/>
      <c r="I22" s="270" t="n"/>
      <c r="J22" s="270" t="n"/>
      <c r="K22" s="270" t="n"/>
      <c r="L22" s="270" t="n"/>
      <c r="M22" s="270" t="n"/>
      <c r="N22" s="270" t="n"/>
    </row>
    <row r="23">
      <c r="A23" s="162" t="n">
        <v>21</v>
      </c>
      <c r="B23" s="248" t="n"/>
      <c r="C23" s="248" t="n"/>
      <c r="D23" s="248" t="n"/>
      <c r="E23" s="248" t="n"/>
      <c r="F23" s="248" t="n"/>
      <c r="G23" s="248" t="n"/>
      <c r="H23" s="270" t="n"/>
      <c r="I23" s="270" t="n"/>
      <c r="J23" s="270" t="n"/>
      <c r="K23" s="270" t="n"/>
      <c r="L23" s="270" t="n"/>
      <c r="M23" s="270" t="n"/>
      <c r="N23" s="270" t="n"/>
    </row>
    <row r="24">
      <c r="A24" s="162" t="n">
        <v>22</v>
      </c>
      <c r="B24" s="248" t="n"/>
      <c r="C24" s="248" t="n"/>
      <c r="D24" s="248" t="n"/>
      <c r="E24" s="248" t="n"/>
      <c r="F24" s="248" t="n"/>
      <c r="G24" s="248" t="n"/>
      <c r="H24" s="270" t="n"/>
      <c r="I24" s="270" t="n"/>
      <c r="J24" s="270" t="n"/>
      <c r="K24" s="270" t="n"/>
      <c r="L24" s="270" t="n"/>
      <c r="M24" s="270" t="n"/>
      <c r="N24" s="270" t="n"/>
    </row>
  </sheetData>
  <mergeCells count="1">
    <mergeCell ref="A1:N1"/>
  </mergeCells>
  <pageMargins left="0.7" right="0.7" top="0.75" bottom="0.75" header="0.3" footer="0.3"/>
  <pageSetup orientation="portrait" scale="6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E21" sqref="E21"/>
    </sheetView>
  </sheetViews>
  <sheetFormatPr baseColWidth="8" defaultRowHeight="15"/>
  <cols>
    <col width="19.28515625" customWidth="1" style="126" min="1" max="1"/>
    <col width="22.42578125" customWidth="1" style="126" min="2" max="2"/>
  </cols>
  <sheetData>
    <row r="1">
      <c r="A1" s="80" t="inlineStr">
        <is>
          <t>Spare AO</t>
        </is>
      </c>
      <c r="B1" s="81" t="n"/>
      <c r="C1" s="82" t="inlineStr">
        <is>
          <t>Spare AO</t>
        </is>
      </c>
      <c r="D1" s="83" t="inlineStr">
        <is>
          <t>XC410</t>
        </is>
      </c>
      <c r="E1" s="84" t="inlineStr">
        <is>
          <t>13,14</t>
        </is>
      </c>
      <c r="F1" s="83" t="inlineStr">
        <is>
          <t>PQW264</t>
        </is>
      </c>
      <c r="G1" s="84" t="inlineStr">
        <is>
          <t>C2</t>
        </is>
      </c>
      <c r="H1" s="82" t="inlineStr">
        <is>
          <t>AO</t>
        </is>
      </c>
      <c r="I1" s="82" t="inlineStr">
        <is>
          <t>4-20 ma o/p</t>
        </is>
      </c>
    </row>
    <row r="2">
      <c r="A2" s="83" t="inlineStr">
        <is>
          <t>Spare AI</t>
        </is>
      </c>
      <c r="B2" s="81" t="n"/>
      <c r="C2" s="82" t="inlineStr">
        <is>
          <t>Spare AI</t>
        </is>
      </c>
      <c r="D2" s="83" t="inlineStr">
        <is>
          <t>XE307</t>
        </is>
      </c>
      <c r="E2" s="84" t="inlineStr">
        <is>
          <t>26+,27-</t>
        </is>
      </c>
      <c r="F2" s="83" t="inlineStr">
        <is>
          <t>PIW 554</t>
        </is>
      </c>
      <c r="G2" s="85" t="inlineStr">
        <is>
          <t>C3</t>
        </is>
      </c>
      <c r="H2" s="82" t="inlineStr">
        <is>
          <t>AI (4-20mA)</t>
        </is>
      </c>
      <c r="I2" s="82" t="inlineStr">
        <is>
          <t>4W</t>
        </is>
      </c>
    </row>
    <row r="3">
      <c r="A3" s="83" t="inlineStr">
        <is>
          <t>Spare AI</t>
        </is>
      </c>
      <c r="B3" s="81" t="n"/>
      <c r="C3" s="82" t="inlineStr">
        <is>
          <t>Spare AI</t>
        </is>
      </c>
      <c r="D3" s="83" t="inlineStr">
        <is>
          <t>XE307</t>
        </is>
      </c>
      <c r="E3" s="84" t="inlineStr">
        <is>
          <t>31+,32-</t>
        </is>
      </c>
      <c r="F3" s="83" t="inlineStr">
        <is>
          <t>PIW 556</t>
        </is>
      </c>
      <c r="G3" s="85" t="inlineStr">
        <is>
          <t>C3</t>
        </is>
      </c>
      <c r="H3" s="82" t="inlineStr">
        <is>
          <t>AI (4-20mA)</t>
        </is>
      </c>
      <c r="I3" s="82" t="inlineStr">
        <is>
          <t>4W</t>
        </is>
      </c>
    </row>
    <row r="4">
      <c r="A4" s="86" t="inlineStr">
        <is>
          <t>Spare DO_Q 26.0</t>
        </is>
      </c>
      <c r="B4" s="87" t="n"/>
      <c r="C4" s="88" t="inlineStr">
        <is>
          <t>Spare DO</t>
        </is>
      </c>
      <c r="D4" s="89" t="inlineStr">
        <is>
          <t>XE203</t>
        </is>
      </c>
      <c r="E4" s="90" t="inlineStr">
        <is>
          <t>41,51</t>
        </is>
      </c>
      <c r="F4" s="83" t="inlineStr">
        <is>
          <t>Q 26.0</t>
        </is>
      </c>
      <c r="G4" s="85" t="inlineStr">
        <is>
          <t>C3</t>
        </is>
      </c>
    </row>
    <row r="5">
      <c r="A5" s="86" t="inlineStr">
        <is>
          <t>Spare DO_Q 26.1</t>
        </is>
      </c>
      <c r="B5" s="87" t="n"/>
      <c r="C5" s="88" t="inlineStr">
        <is>
          <t>Spare DO</t>
        </is>
      </c>
      <c r="D5" s="89" t="inlineStr">
        <is>
          <t>XE203</t>
        </is>
      </c>
      <c r="E5" s="90" t="inlineStr">
        <is>
          <t>42,52</t>
        </is>
      </c>
      <c r="F5" s="83" t="inlineStr">
        <is>
          <t>Q 26.1</t>
        </is>
      </c>
      <c r="G5" s="85" t="inlineStr">
        <is>
          <t>C3</t>
        </is>
      </c>
    </row>
    <row r="6">
      <c r="A6" s="86" t="inlineStr">
        <is>
          <t>Spare DO_Q 26.2</t>
        </is>
      </c>
      <c r="B6" s="87" t="n"/>
      <c r="C6" s="88" t="inlineStr">
        <is>
          <t>Spare DO</t>
        </is>
      </c>
      <c r="D6" s="89" t="inlineStr">
        <is>
          <t>XE203</t>
        </is>
      </c>
      <c r="E6" s="90" t="inlineStr">
        <is>
          <t>43,53</t>
        </is>
      </c>
      <c r="F6" s="83" t="inlineStr">
        <is>
          <t>Q 26.2</t>
        </is>
      </c>
      <c r="G6" s="85" t="inlineStr">
        <is>
          <t>C3</t>
        </is>
      </c>
    </row>
    <row r="7">
      <c r="A7" s="88" t="inlineStr">
        <is>
          <t>Spare DI</t>
        </is>
      </c>
      <c r="B7" s="91" t="n"/>
      <c r="C7" s="90" t="n"/>
      <c r="D7" s="91" t="inlineStr">
        <is>
          <t>XF101</t>
        </is>
      </c>
      <c r="E7" s="90" t="inlineStr">
        <is>
          <t>62,72</t>
        </is>
      </c>
      <c r="F7" s="83" t="inlineStr">
        <is>
          <t>I 51.1</t>
        </is>
      </c>
      <c r="G7" s="85" t="inlineStr">
        <is>
          <t>C3</t>
        </is>
      </c>
    </row>
    <row r="8">
      <c r="A8" s="88" t="inlineStr">
        <is>
          <t>Spare DI</t>
        </is>
      </c>
      <c r="B8" s="91" t="n"/>
      <c r="C8" s="90" t="n"/>
      <c r="D8" s="91" t="inlineStr">
        <is>
          <t>XF101</t>
        </is>
      </c>
      <c r="E8" s="90" t="inlineStr">
        <is>
          <t>63,73</t>
        </is>
      </c>
      <c r="F8" s="83" t="inlineStr">
        <is>
          <t>I 51.2</t>
        </is>
      </c>
      <c r="G8" s="85" t="inlineStr">
        <is>
          <t>C3</t>
        </is>
      </c>
    </row>
    <row r="9">
      <c r="A9" s="88" t="inlineStr">
        <is>
          <t>Spare DI</t>
        </is>
      </c>
      <c r="B9" s="91" t="n"/>
      <c r="C9" s="90" t="n"/>
      <c r="D9" s="91" t="inlineStr">
        <is>
          <t>XF101</t>
        </is>
      </c>
      <c r="E9" s="90" t="inlineStr">
        <is>
          <t>64,74</t>
        </is>
      </c>
      <c r="F9" s="83" t="inlineStr">
        <is>
          <t>I 51.3</t>
        </is>
      </c>
      <c r="G9" s="85" t="inlineStr">
        <is>
          <t>C3</t>
        </is>
      </c>
    </row>
    <row r="10">
      <c r="A10" s="88" t="inlineStr">
        <is>
          <t>Spare DI</t>
        </is>
      </c>
      <c r="B10" s="91" t="n"/>
      <c r="C10" s="90" t="n"/>
      <c r="D10" s="91" t="inlineStr">
        <is>
          <t>XF101</t>
        </is>
      </c>
      <c r="E10" s="90" t="inlineStr">
        <is>
          <t>65,75</t>
        </is>
      </c>
      <c r="F10" s="83" t="inlineStr">
        <is>
          <t>I 51.4</t>
        </is>
      </c>
      <c r="G10" s="85" t="inlineStr">
        <is>
          <t>C3</t>
        </is>
      </c>
    </row>
    <row r="11">
      <c r="A11" s="88" t="inlineStr">
        <is>
          <t>Spare DI</t>
        </is>
      </c>
      <c r="B11" s="91" t="n"/>
      <c r="C11" s="90" t="n"/>
      <c r="D11" s="91" t="inlineStr">
        <is>
          <t>XF101</t>
        </is>
      </c>
      <c r="E11" s="90" t="inlineStr">
        <is>
          <t>66,76</t>
        </is>
      </c>
      <c r="F11" s="83" t="inlineStr">
        <is>
          <t>I 51.5</t>
        </is>
      </c>
      <c r="G11" s="85" t="inlineStr">
        <is>
          <t>C3</t>
        </is>
      </c>
    </row>
    <row r="12">
      <c r="A12" s="88" t="inlineStr">
        <is>
          <t>Spare DI</t>
        </is>
      </c>
      <c r="B12" s="91" t="n"/>
      <c r="C12" s="90" t="n"/>
      <c r="D12" s="91" t="inlineStr">
        <is>
          <t>XF101</t>
        </is>
      </c>
      <c r="E12" s="90" t="inlineStr">
        <is>
          <t>67,77</t>
        </is>
      </c>
      <c r="F12" s="83" t="inlineStr">
        <is>
          <t>I 51.6</t>
        </is>
      </c>
      <c r="G12" s="85" t="inlineStr">
        <is>
          <t>C3</t>
        </is>
      </c>
    </row>
    <row r="13">
      <c r="A13" s="88" t="inlineStr">
        <is>
          <t>Spare DI</t>
        </is>
      </c>
      <c r="B13" s="91" t="n"/>
      <c r="C13" s="90" t="n"/>
      <c r="D13" s="91" t="inlineStr">
        <is>
          <t>XF101</t>
        </is>
      </c>
      <c r="E13" s="90" t="inlineStr">
        <is>
          <t>68,78</t>
        </is>
      </c>
      <c r="F13" s="83" t="inlineStr">
        <is>
          <t>I 51.7</t>
        </is>
      </c>
      <c r="G13" s="85" t="inlineStr">
        <is>
          <t>C3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2026-08-31T23:26:45Z</dcterms:modified>
</cp:coreProperties>
</file>