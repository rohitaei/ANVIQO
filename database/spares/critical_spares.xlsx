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8800" windowHeight="12435"/>
  </bookViews>
  <sheets>
    <sheet name="RTD" sheetId="1" r:id="rId1"/>
    <sheet name="LT" sheetId="2" r:id="rId2"/>
    <sheet name="PT" sheetId="3" r:id="rId3"/>
    <sheet name="FT" sheetId="4" r:id="rId4"/>
    <sheet name="MCV" sheetId="5" r:id="rId5"/>
    <sheet name="FSV&amp;PCV" sheetId="6" r:id="rId6"/>
    <sheet name="SOV" sheetId="8" r:id="rId7"/>
    <sheet name="POS'R" sheetId="9" r:id="rId8"/>
    <sheet name="LOAD CELL" sheetId="10" r:id="rId9"/>
    <sheet name="Analyser" sheetId="11" r:id="rId10"/>
    <sheet name="Sheet1" sheetId="12" r:id="rId11"/>
    <sheet name="AIR COMPRESSOR" sheetId="14" r:id="rId12"/>
    <sheet name="Sheet2" sheetId="13" r:id="rId13"/>
  </sheets>
  <definedNames>
    <definedName name="_xlnm.Print_Area" localSheetId="11">'AIR COMPRESSOR'!$A$1:$N$22</definedName>
    <definedName name="_xlnm.Print_Area" localSheetId="9">Analyser!$A$1:$M$22</definedName>
    <definedName name="_xlnm.Print_Area" localSheetId="3">FT!$C$1:$N$20</definedName>
    <definedName name="_xlnm.Print_Area" localSheetId="1">LT!$A$1:$O$9</definedName>
    <definedName name="_xlnm.Print_Area" localSheetId="2">PT!$E$1:$O$47</definedName>
    <definedName name="_xlnm.Print_Area" localSheetId="10">Sheet1!$A$1:$J$137</definedName>
  </definedNames>
  <calcPr calcId="152511"/>
</workbook>
</file>

<file path=xl/calcChain.xml><?xml version="1.0" encoding="utf-8"?>
<calcChain xmlns="http://schemas.openxmlformats.org/spreadsheetml/2006/main">
  <c r="O3" i="11" l="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" i="11"/>
  <c r="O10" i="10"/>
  <c r="O9" i="10"/>
  <c r="O3" i="10"/>
  <c r="O4" i="10"/>
  <c r="O5" i="10"/>
  <c r="O6" i="10"/>
  <c r="O7" i="10"/>
  <c r="O8" i="10"/>
  <c r="O12" i="10"/>
  <c r="O2" i="10"/>
  <c r="N7" i="8"/>
  <c r="N8" i="8"/>
  <c r="N3" i="8"/>
  <c r="N4" i="8"/>
  <c r="N5" i="8"/>
  <c r="N2" i="8"/>
  <c r="O16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2" i="6"/>
  <c r="N3" i="5"/>
  <c r="N4" i="5"/>
  <c r="N5" i="5"/>
  <c r="N6" i="5"/>
  <c r="N7" i="5"/>
  <c r="N8" i="5"/>
  <c r="N9" i="5"/>
  <c r="N2" i="5"/>
  <c r="O21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" i="4"/>
  <c r="P48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3" i="3"/>
  <c r="P10" i="2"/>
  <c r="P2" i="2"/>
  <c r="P3" i="2"/>
  <c r="P4" i="2"/>
  <c r="P6" i="2"/>
  <c r="P7" i="2"/>
  <c r="P8" i="2"/>
  <c r="P9" i="2"/>
  <c r="P5" i="2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" i="1"/>
  <c r="N10" i="5" l="1"/>
  <c r="O36" i="1"/>
  <c r="C9" i="8"/>
  <c r="D10" i="5" l="1"/>
  <c r="C12" i="10" l="1"/>
  <c r="C4" i="9"/>
  <c r="D16" i="6"/>
  <c r="C48" i="3"/>
  <c r="C10" i="2"/>
  <c r="C36" i="1"/>
</calcChain>
</file>

<file path=xl/sharedStrings.xml><?xml version="1.0" encoding="utf-8"?>
<sst xmlns="http://schemas.openxmlformats.org/spreadsheetml/2006/main" count="983" uniqueCount="700">
  <si>
    <t>TAG NO</t>
  </si>
  <si>
    <t>TE202</t>
  </si>
  <si>
    <t>TE201</t>
  </si>
  <si>
    <t>TE203</t>
  </si>
  <si>
    <t>TE204</t>
  </si>
  <si>
    <t>TE205</t>
  </si>
  <si>
    <t>TE302</t>
  </si>
  <si>
    <t>TE303</t>
  </si>
  <si>
    <t>TE304</t>
  </si>
  <si>
    <t>TE319A</t>
  </si>
  <si>
    <t>TE319B</t>
  </si>
  <si>
    <t>TE320</t>
  </si>
  <si>
    <t>TE321</t>
  </si>
  <si>
    <t>TE330</t>
  </si>
  <si>
    <t>TE331</t>
  </si>
  <si>
    <t>TE332</t>
  </si>
  <si>
    <t>TE333</t>
  </si>
  <si>
    <t>TE334</t>
  </si>
  <si>
    <t>TE335</t>
  </si>
  <si>
    <t>TE336</t>
  </si>
  <si>
    <t>TE337</t>
  </si>
  <si>
    <t>TE338</t>
  </si>
  <si>
    <t>TE401</t>
  </si>
  <si>
    <t>TE402</t>
  </si>
  <si>
    <t>TE501</t>
  </si>
  <si>
    <t>TE502</t>
  </si>
  <si>
    <t>TE503</t>
  </si>
  <si>
    <t>TE504</t>
  </si>
  <si>
    <t>TE505</t>
  </si>
  <si>
    <t>TE506</t>
  </si>
  <si>
    <t>TE507</t>
  </si>
  <si>
    <t>TE508</t>
  </si>
  <si>
    <t>TE509</t>
  </si>
  <si>
    <t>TE510</t>
  </si>
  <si>
    <t>SPARES FOR PR</t>
  </si>
  <si>
    <t>SL.NO</t>
  </si>
  <si>
    <t>INSTRUMENT</t>
  </si>
  <si>
    <t xml:space="preserve"> Qty Instld</t>
  </si>
  <si>
    <t>Qty Req</t>
  </si>
  <si>
    <t>DESCRIPTION</t>
  </si>
  <si>
    <t>0 - 1200℃ graduation No. S, ø20 corundum ferrule-type flange matched with one nos. of flange with the same model, length 1200mm, explsion-proof type</t>
  </si>
  <si>
    <t>INSTALATION SITE</t>
  </si>
  <si>
    <t>Graduation No. Pt100, 0 - 100℃, ø16 armored 304 protecting tube, M27×2 matched base with fixed thread, insertion length 100mm, total length 300mm, wear-resistant &amp; explosion-proof type</t>
  </si>
  <si>
    <t>Graduation No. Pt100, 0 - 600℃, ø16 armored 304 protecting tube, M27×2 matched base with fixed thread, insertion length 300mm, total length 600mm, wear-resistant &amp; explosion-proof type</t>
  </si>
  <si>
    <t>Graduation No. Pt100, 0 - 200℃, ø16 armored 304 protecting tube, M27×2 matched base with fixed thread, insertion length 300mm, total length 600mm, wear-resistant &amp; explosion-proof type</t>
  </si>
  <si>
    <t>Graduation No. Pt100, 0 - 100℃, ø16 armored 304 protecting tube, M27×2 matched base with fixed thread, insertion length 300mm, total length 500mm, wear-resistant &amp; explosion-proof type</t>
  </si>
  <si>
    <t>Graduation No. Pt100, 0 - 100℃, ø16 armored 304 protecting tube, M27×2 matched base with fixed thread, insertion length 2000mm, total length 2200mm, wear-resistant &amp; explosion-proof type</t>
  </si>
  <si>
    <t>Graduation No. Pt100, 0 - 100℃, ø16 armored 304 protecting tube, M27×2 matched base with fixed thread, insertion length 0mm, total length 150mm, wear-resistant &amp; explosion-proof type</t>
  </si>
  <si>
    <t>Graduation No. Pt100, 0 - 100℃, ø16 armored 304 protecting tube, M27×2 matched base with fixed thread, insertion length 50mm, total length 150mm, wear-resistant &amp; explosion-proof type</t>
  </si>
  <si>
    <t>LE 101</t>
  </si>
  <si>
    <t>XT203</t>
  </si>
  <si>
    <t>Mill inlet Hot Gas Temp</t>
  </si>
  <si>
    <t>Mill outlet Gas Temp-1</t>
  </si>
  <si>
    <t>Mill outlet Gas Temp-2</t>
  </si>
  <si>
    <t>Mill roller bearing Temp-1</t>
  </si>
  <si>
    <t>Mill roller bearing Temp-2</t>
  </si>
  <si>
    <t>Mill roller bearing Temp-3</t>
  </si>
  <si>
    <t>BFG Temp at HGG inlet</t>
  </si>
  <si>
    <t>CA Temp at HGG inlet</t>
  </si>
  <si>
    <t>HGG inlet recirculation gas temperature</t>
  </si>
  <si>
    <t>Bag filter inlet temp</t>
  </si>
  <si>
    <t>Bag filter outlet temp</t>
  </si>
  <si>
    <t>Bag filter hopper-1 temp</t>
  </si>
  <si>
    <t>Bag filter hopper-2 temp</t>
  </si>
  <si>
    <t>Chimney inside Temp</t>
  </si>
  <si>
    <t>Fine coal Silo Temp-1</t>
  </si>
  <si>
    <t>Fine coal Silo Temp-2</t>
  </si>
  <si>
    <t>Fine coal Silo Temp-3</t>
  </si>
  <si>
    <t>Fine coal Silo Temp-4</t>
  </si>
  <si>
    <t>Fine coal Silo Temp-5</t>
  </si>
  <si>
    <t>Fine coal Silo Temp-6</t>
  </si>
  <si>
    <t>Nitrogen receiver Inlet temperature</t>
  </si>
  <si>
    <t>Compressure air  receiver Inlet temperature</t>
  </si>
  <si>
    <t>Top Temperature of injection vessel-A</t>
  </si>
  <si>
    <t>BottomTemperature of injection vessel-A</t>
  </si>
  <si>
    <t>Top Temperature of injection vessel-B</t>
  </si>
  <si>
    <t>BottomTemperature of injection vessel-B</t>
  </si>
  <si>
    <t>Top Temperature of injection vessel-C</t>
  </si>
  <si>
    <t>BottomTemperature of injection vessel-C</t>
  </si>
  <si>
    <t>Top Temperature of injection vessel-D</t>
  </si>
  <si>
    <t>BottomTemperature of injection vessel-D</t>
  </si>
  <si>
    <t>MBF-A conveying line temp</t>
  </si>
  <si>
    <t>MBF-B conveying line temp</t>
  </si>
  <si>
    <t>HGG inside temp</t>
  </si>
  <si>
    <t>LE-301</t>
  </si>
  <si>
    <t>LE-302</t>
  </si>
  <si>
    <t>LE-103</t>
  </si>
  <si>
    <t>LE-104</t>
  </si>
  <si>
    <t>LE-304</t>
  </si>
  <si>
    <t>LT-302</t>
  </si>
  <si>
    <t>mill bed height</t>
  </si>
  <si>
    <t>Pressure transmitter</t>
  </si>
  <si>
    <t>PT-203</t>
  </si>
  <si>
    <t>PT-304</t>
  </si>
  <si>
    <t>PT-306</t>
  </si>
  <si>
    <t>PT-407</t>
  </si>
  <si>
    <t>PT-502</t>
  </si>
  <si>
    <t>PT-503</t>
  </si>
  <si>
    <t>PT-504</t>
  </si>
  <si>
    <t>PT-201</t>
  </si>
  <si>
    <t>PT-202</t>
  </si>
  <si>
    <t>PT-204</t>
  </si>
  <si>
    <t>PT-205</t>
  </si>
  <si>
    <t>PT-206</t>
  </si>
  <si>
    <t>PT-207</t>
  </si>
  <si>
    <t>PT-303</t>
  </si>
  <si>
    <t>PT-305</t>
  </si>
  <si>
    <t>PT-401</t>
  </si>
  <si>
    <t>PT-402</t>
  </si>
  <si>
    <t>PT-403</t>
  </si>
  <si>
    <t>PT-404</t>
  </si>
  <si>
    <t>PT-405</t>
  </si>
  <si>
    <t>PT-406</t>
  </si>
  <si>
    <t>PT-408</t>
  </si>
  <si>
    <t>PT-409</t>
  </si>
  <si>
    <t>PT-410</t>
  </si>
  <si>
    <t>PT-411</t>
  </si>
  <si>
    <t>PT-412</t>
  </si>
  <si>
    <t>PT-413</t>
  </si>
  <si>
    <t>PT-501</t>
  </si>
  <si>
    <t>PT-505</t>
  </si>
  <si>
    <t>PT-506</t>
  </si>
  <si>
    <t>PT-507</t>
  </si>
  <si>
    <t>PT-508</t>
  </si>
  <si>
    <t>PT-509</t>
  </si>
  <si>
    <t>PT-510</t>
  </si>
  <si>
    <t>PT-511</t>
  </si>
  <si>
    <t>PT-512</t>
  </si>
  <si>
    <t>PT-513</t>
  </si>
  <si>
    <t>PT-514</t>
  </si>
  <si>
    <t>PT-515</t>
  </si>
  <si>
    <t>PT-516</t>
  </si>
  <si>
    <t>PT-517</t>
  </si>
  <si>
    <t>PT-518</t>
  </si>
  <si>
    <t>PT-519</t>
  </si>
  <si>
    <t>PT-520</t>
  </si>
  <si>
    <t>Range: --0.05-0.1Kg/cm², output signal: 4-20mADC, with digital display, HART digital communication, intrinsically safe &amp; explosion-proof type, 304 ball valve direct installation</t>
  </si>
  <si>
    <t>SHORT DESCRIPTION</t>
  </si>
  <si>
    <t>PT-601</t>
  </si>
  <si>
    <t>Model No:- 3051CG7A52A1BH2S 1S00B915L 4M5J
Range: 0-10Kg/cm², output signal: 4-20mADC, with digital display, HART digital communication, intrinsically safe &amp; explosion-proof type, 304 ball valve direct installation</t>
  </si>
  <si>
    <t>Model No:- 3051CG4A52A1BH2S 1S00B915L 4M5J
Range: 0 to 0.2Kg/cm², output signal: 4-20mADC, with digital display, HART digital communication, intrinsically safe &amp; explosion-proof type, 304 ball valve direct installation</t>
  </si>
  <si>
    <t>Model No:- 3051DR2A52A1BH2S 1S00B915L 4M5J
Range: -0.01 to 0.01Kg/cm², output signal: 4-20mADC, with digital display, HART digital communication, intrinsically safe &amp; explosion-proof type, 304 ball valve direct installation</t>
  </si>
  <si>
    <t>Model No:- 3051CG3A52A1BH2S 1S00B915L 4M5J
Range: 0 to 0.06Kg/cm², output signal: 4-20mADC, with digital display, HART digital communication, intrinsically safe &amp; explosion-proof type, 304 ball valve direct installation</t>
  </si>
  <si>
    <t>Model No:- 3051CG3A52A1BH2S 1S00B915L 4M5J
Range: -0.05 to 0Kg/cm², output signal: 4-20mADC, with digital display, HART digital communication, intrinsically safe &amp; explosion-proof type, 304 ball valve direct installation</t>
  </si>
  <si>
    <t>Model No:- 3051CG4A52A1BH2S 1S00B915L 4M5J
Range: -0.05 to 0.1Kg/cm², output signal: 4-20mADC, with digital display, HART digital communication, intrinsically safe &amp; explosion-proof type, 304 ball valve direct installation</t>
  </si>
  <si>
    <t>3051L5AG0QA-11BA01K5L5M3J1
Range: -0.15 to 0Kg/cm², output signal: 4-20mADC, with digital display, HART digital communication, intrinsically safe &amp; explosion-proof typematched with one nos. of ø50 flange-</t>
  </si>
  <si>
    <t>Model No:- 3051DR2A52A1BH2S 1S00B915L 4M5J
Range: -0.015 to 0Kg/cm², output signal: 4-20mADC, with digital display, HART digital communication, intrinsically safe &amp; explosion-proof type, 304 ball valve direct installation</t>
  </si>
  <si>
    <t>3051L4AG0QA-11BA01K5L5M3J1
Range: -0.15 to 0.15Kg/cm², output signal: 4-20mADC, with digital display, HART digital communication, intrinsically safe &amp; explosion-proof typematched with one nos. of ø50 flange</t>
  </si>
  <si>
    <t>FT-201</t>
  </si>
  <si>
    <t>FT-202</t>
  </si>
  <si>
    <t>FT-203</t>
  </si>
  <si>
    <t>FT-301</t>
  </si>
  <si>
    <t>FT-401</t>
  </si>
  <si>
    <t>FT-402</t>
  </si>
  <si>
    <t>FT-501</t>
  </si>
  <si>
    <t>FT-502</t>
  </si>
  <si>
    <t>FT-503</t>
  </si>
  <si>
    <t>Model:-JSYH-BK-377+3051DP
Range: 0-6000Nm³N/h. Output signal: 4-20mADC, with digital display, HART digital communication. See Throttle Device Consultation for others, matched with stainless steel tri-valve set</t>
  </si>
  <si>
    <t>Model:-JSYH-BK-325+3051DP
Range: 0-6000Nm³N/h. Output signal: 4-20mADC, with digital display, HART digital communication. See Throttle Device Consultation for others, matched with stainless steel tri-valve set</t>
  </si>
  <si>
    <t>Model:-JSYH-YSG-820+3051DP
Range: 0-30000Nm³N/h. Output signal: 4-20mADC, with digital display, HART digital communication. See Throttle Device Consultation for others, matched with stainless steel tri-valve set</t>
  </si>
  <si>
    <t>Model No:-JSYH-YSG-920+3051DP
Range: 0-65000Nm³N/h. Output signal: 4-20mADC, with digital display, HART digital communication. See Throttle Device Consultation for others, matched with stainless steel tri-valve set</t>
  </si>
  <si>
    <t>Model No:-JSYH-BK-108+3051DP
Range: 2500Nm³N/h. Output signal: 4-20mADC, with digital display, HART digital communication. See Throttle Device Consultation for others, matched with stainless steel tri-valve set</t>
  </si>
  <si>
    <t>Model No:-JSYH-BK-108+3051DP
Range: 2000Nm³N/h. Output signal: 4-20mADC, with digital display, HART digital communication. See Throttle Device Consultation for others, matched with stainless steel tri-valve set</t>
  </si>
  <si>
    <t>Model No:-JSYH-BK-48+3051DP
Range: 500Nm³N/h. Output signal: 4-20mADC, with digital display, HART digital communication. See Throttle Device Consultation for others, matched with stainless steel tri-valve set</t>
  </si>
  <si>
    <t>Model No:- JSYH-BK-48+3051DP
Range: 300Nm³N/h. Output signal: 4-20mADC, with digital display, HART digital communication. See Throttle Device Consultation for others, matched with stainless steel tri-valve set</t>
  </si>
  <si>
    <t>Model NO:-JSYH-BK-32+3051DP
Range: 500Nm³N/h. Output signal: 4-20mADC, with digital display, HART digital communication. See Throttle Device Consultation for others, matched with stainless steel tri-valve set</t>
  </si>
  <si>
    <t>FT-504</t>
  </si>
  <si>
    <t>Model No:- JSYH-BK-48+3051DP
Range: 500Nm³N/h. Output signal: 4-20mADC, with digital display, HART digital communication. See Throttle Device Consultation for others, matched with stainless steel tri-valve set</t>
  </si>
  <si>
    <t>FT-505</t>
  </si>
  <si>
    <t>FT-506</t>
  </si>
  <si>
    <t>FT-507</t>
  </si>
  <si>
    <t>FT-508</t>
  </si>
  <si>
    <t>FT-509</t>
  </si>
  <si>
    <t>FT-510</t>
  </si>
  <si>
    <t>FT-511</t>
  </si>
  <si>
    <t>FT-512</t>
  </si>
  <si>
    <t>Model No:- JSYH-BK-32+3051DP
Range: 500Nm³N/h. Output signal: 4-20mADC, with digital display, HART digital communication. See Throttle Device Consultation for others, matched with stainless steel tri-valve set</t>
  </si>
  <si>
    <t>FT-601</t>
  </si>
  <si>
    <t>Model No:- JSYH-BK-76+3051DP
Range: 40m3/h. Output signal: 4-20mADC, with digital display, HART digital communication. See Throttle Device Consultation for others, matched with stainless steel tri-valve set</t>
  </si>
  <si>
    <t>BFG Flow at HGG inlet</t>
  </si>
  <si>
    <t>CA Flow at HGG inlet</t>
  </si>
  <si>
    <t xml:space="preserve">HGG inlet recirculation gas flow </t>
  </si>
  <si>
    <t>Cooling  pump discharge water flow at return line</t>
  </si>
  <si>
    <t>Bag filter outlet gas flow</t>
  </si>
  <si>
    <t>Nitrogen receiver Inlet flow</t>
  </si>
  <si>
    <t>Compressure air  receiver Inlet flow</t>
  </si>
  <si>
    <t>N2 Flow for injection vessel-A pressurisation</t>
  </si>
  <si>
    <t>N2 Flow for injection vessel-A fluidisation</t>
  </si>
  <si>
    <t>Conveying media Flow for injection vessel-A</t>
  </si>
  <si>
    <t>N2 Flow for injection vessel-B pressurisation</t>
  </si>
  <si>
    <t>N2 Flow for injection vessel-B fluidisation</t>
  </si>
  <si>
    <t>Conveying media Flow for injection vessel-B</t>
  </si>
  <si>
    <t>N2 Flow for injection vessel-C pressurisation</t>
  </si>
  <si>
    <t>N2 Flow for injection vessel-C fluidisation</t>
  </si>
  <si>
    <t>Conveying media Flow for injection vessel-C</t>
  </si>
  <si>
    <t>N2 Flow for injection vessel-D pressurisation</t>
  </si>
  <si>
    <t>N2 Flow for injection vessel-D fluidisation</t>
  </si>
  <si>
    <t>Conveying media Flow for injection vessel-D</t>
  </si>
  <si>
    <t>Mill inlet Gas Pr</t>
  </si>
  <si>
    <t>Mill outlet Gas Pr</t>
  </si>
  <si>
    <t>BFG Pr at HGG inlet</t>
  </si>
  <si>
    <t>CA Pr at HGG inlet</t>
  </si>
  <si>
    <t>HGG inside Pr</t>
  </si>
  <si>
    <t>HGG inlet recirculation gas pressure</t>
  </si>
  <si>
    <t>Cooling  pump discharge water pr</t>
  </si>
  <si>
    <t>Bag filter inlet pr</t>
  </si>
  <si>
    <t>Bag filter outlet pr</t>
  </si>
  <si>
    <t>Fine coal Silo Pr</t>
  </si>
  <si>
    <t>Nitrogen receiver Inlet pressure</t>
  </si>
  <si>
    <t>Compressure air receiver  Inlet pressure</t>
  </si>
  <si>
    <t>Pressure of injection vessel-A</t>
  </si>
  <si>
    <t>N2 Pr for injection vessel-A pressurisation</t>
  </si>
  <si>
    <t>N2 Pr for injection vessel-A fluidisation</t>
  </si>
  <si>
    <t>Conveying media Pr for injection vessel-A</t>
  </si>
  <si>
    <t>Pressure of injection vessel-B</t>
  </si>
  <si>
    <t>N2 Pr for injection vessel-B pressurisation</t>
  </si>
  <si>
    <t>N2 Pr for injection vessel-B fluidisation</t>
  </si>
  <si>
    <t>Conveying media Pr for injection vessel-B</t>
  </si>
  <si>
    <t>Pressure of injection vessel-C</t>
  </si>
  <si>
    <t>N2 Pr for injection vessel-C pressurisation</t>
  </si>
  <si>
    <t>N2 Pr for injection vessel-C fluidisation</t>
  </si>
  <si>
    <t>Conveying media Pr for injection vessel-C</t>
  </si>
  <si>
    <t>Pressure of injection vessel-D</t>
  </si>
  <si>
    <t>N2 Pr for injection vessel-D pressurisation</t>
  </si>
  <si>
    <t>N2 Pr for injection vessel-D fluidisation</t>
  </si>
  <si>
    <t>Conveying media Pr for injection vessel-D</t>
  </si>
  <si>
    <t>MBF-A conveying line pr</t>
  </si>
  <si>
    <t>MBF-A distributer inlet pr</t>
  </si>
  <si>
    <t>MBF-B conveying line pr</t>
  </si>
  <si>
    <t>MBF-B distributer inlet pr</t>
  </si>
  <si>
    <t>Raw coal storage  silo level</t>
  </si>
  <si>
    <t>GH-1 Level</t>
  </si>
  <si>
    <t>Chute before Steep Aangl Conveyor Level</t>
  </si>
  <si>
    <t>Chute  before RCS Level</t>
  </si>
  <si>
    <t>Chute  before VRM INLRT</t>
  </si>
  <si>
    <t>HGG</t>
  </si>
  <si>
    <t>FSV-201</t>
  </si>
  <si>
    <t>FSV-506/513/520/527</t>
  </si>
  <si>
    <t>Make - BOKE, Model no-4V310-10, Pressure-0.15-0.8MPa</t>
  </si>
  <si>
    <t>FSV-502/503/504/505</t>
  </si>
  <si>
    <t>Make - BOKE, Model no-4M310-08, Pressure-0.15-0.8MPa</t>
  </si>
  <si>
    <t>FSV-511/518/525/532</t>
  </si>
  <si>
    <t>FSV-508/515/522/529/507/521/514/528</t>
  </si>
  <si>
    <t xml:space="preserve">FSV-401/402/403                       PSV-502                  </t>
  </si>
  <si>
    <t>FSV-501</t>
  </si>
  <si>
    <t xml:space="preserve">FSV-512/519/526/533                               </t>
  </si>
  <si>
    <t xml:space="preserve">FSV-536/537/538/539                              </t>
  </si>
  <si>
    <t>PCV-503/507/511/515          FCV-501/502/503/504</t>
  </si>
  <si>
    <t>PCV-504/508/512/516</t>
  </si>
  <si>
    <t>PCV-502/506/510/514</t>
  </si>
  <si>
    <t>Make- YTC, Model no-YT1000RDi131, Serial No-17654, Explosion Proof:Exiall CT6, Input Signle-4῀20mADC, Ambient temp- -20῀70⁰C, Supply pressure- 1.4῀7.0 kgf/cm2</t>
  </si>
  <si>
    <t>FSV-509/510/516/517/523/ 524/530/531/534/535</t>
  </si>
  <si>
    <t>PCV-501/505/509/513</t>
  </si>
  <si>
    <t>Solenoid Pulse valve for Bag Filter</t>
  </si>
  <si>
    <t>SNO</t>
  </si>
  <si>
    <t>MCV-202</t>
  </si>
  <si>
    <t>MCV-205</t>
  </si>
  <si>
    <t>MCV-203</t>
  </si>
  <si>
    <t>MCV-206</t>
  </si>
  <si>
    <t>MCV-301</t>
  </si>
  <si>
    <t>MCV-204</t>
  </si>
  <si>
    <t>MCV-201</t>
  </si>
  <si>
    <t>S NO</t>
  </si>
  <si>
    <t>Specification</t>
  </si>
  <si>
    <t>Short Description</t>
  </si>
  <si>
    <t>Pneumatic quick cut off valves</t>
  </si>
  <si>
    <t>Pneumatic metal hard sealing butterfly valves</t>
  </si>
  <si>
    <t xml:space="preserve">   Pneumatic explosion-proof ball valve</t>
  </si>
  <si>
    <t xml:space="preserve">    Pneumatic explosion-proof ball valve</t>
  </si>
  <si>
    <t xml:space="preserve">     Pneumatic explosion-proof ball valve</t>
  </si>
  <si>
    <t xml:space="preserve"> Pneumatci explosion-proof three-way ball valves</t>
  </si>
  <si>
    <t xml:space="preserve">             Film penumatic control valve</t>
  </si>
  <si>
    <t xml:space="preserve">              Film penumatic control valve</t>
  </si>
  <si>
    <t xml:space="preserve"> Pneumatic explosion-proof control ball valve</t>
  </si>
  <si>
    <t xml:space="preserve"> Pneumatic explosion-proof wearing-resistance ball valves</t>
  </si>
  <si>
    <t>Item</t>
  </si>
  <si>
    <t>solenoid valve</t>
  </si>
  <si>
    <t>INJECTION VESSEL</t>
  </si>
  <si>
    <t>PCS &amp;FCS</t>
  </si>
  <si>
    <t>WEIGH FEEDER</t>
  </si>
  <si>
    <t>WT-501,WT-502,WT-503,WT-504</t>
  </si>
  <si>
    <t>WT-301,WT-303</t>
  </si>
  <si>
    <t>WT-302</t>
  </si>
  <si>
    <t>NA</t>
  </si>
  <si>
    <t>FS-515 TO FS 536</t>
  </si>
  <si>
    <t>MBF1&amp;2</t>
  </si>
  <si>
    <t xml:space="preserve"> MAKE- SWR   FLOW JAM SWITCH, MAKE- SWR  POWER SUPPLY-18 -24V DC/AC, RANGE (0-2M)                      MODEL :89/336/EEC</t>
  </si>
  <si>
    <t>FT-514&amp;FT-513</t>
  </si>
  <si>
    <t>COAL CONVEYING LINE</t>
  </si>
  <si>
    <t>SCHENCK PROCESS Load Cell Type-RTD 68T
Input Resistance 4480 ohms (+/-50 ohms)
Output Resistance 4010 ohms (+/-50 ohms)
Loadcell Sensitivity 2.85mV/V
Loadcell Excitation Voltage 12 V AC
Accuracy (+/-)0.02% with zero balance</t>
  </si>
  <si>
    <t xml:space="preserve">SCHENCK PROCESS Load Cell Type-RTD 4.7T
Accuracy (+/-)0.02% with zero balance
Input Resistance 4480 ohms (+/-50 ohms)
Output Resistance 4010 ohms (+/-50 ohms)
Loadcell Sensitivity 2.85mV/V
Loadcell Excitation Voltage 12 V AC
</t>
  </si>
  <si>
    <t>SCHENCK PROCESS Platform Load Cell, 
Type-PWS 100 kg
Accuracy (+/-) 0.05%
Input Resistance 390 ±10 Ω
Output Resistance 350 ±2 Ω
Loadcell Sensitivity 2 ±0.002 mV/V
Loadcell Excitation Voltage 6 V AC</t>
  </si>
  <si>
    <t>SPEED SENSOR TYPE -
Type-FGA 1O IP-67               
EXC VOL-(5-25V)
Cable Length (m)-5mtr</t>
  </si>
  <si>
    <t xml:space="preserve">Provided by power supply/conditioning PCBSFI 15-30VDC, 100mA max.Conduit Connection: (2) 1/2" NPT Detection Range: 0 to 10’ free air Sensitivity: Switch selectable HI/LOW Minimum Velocity: 2.5 ft/sec (762 mm/sec) Output:4-20mA
Process Connection 1-1/4" NPT &amp;DN50 Flange(Seals Adapter)
Pipe diameterΦ63.5×7
</t>
  </si>
  <si>
    <t>Make- YTC, Model no-YT1000LS1, Serial No-13118410, Explosion Proof:Exiall CT6, Input Signal-4 to 20mADC, Ambient temp-20 to 60⁰C, Supply pressure- 1.4 to 7.0 kgf/cm2</t>
  </si>
  <si>
    <t>Out Put- 4-20 mA, Range-= 0-50 mm, Supply 24V, Make- Autobolin</t>
  </si>
  <si>
    <t>Model:-BWZJ-13T, Supply- 230VAC, Out Put- Switch Output.</t>
  </si>
  <si>
    <t xml:space="preserve">Capacitance admittance level meter
Armored 304 protecting tube ZG1", matched base with fixed thread, insertion length 200mm, total length 300mm, explosion-proof type
Model:-L-2000D-SCA1-200NEX
Suitable for medium:- coal
Supply Voltage:- 24 VDC
</t>
  </si>
  <si>
    <t>Fine Coal Silo</t>
  </si>
  <si>
    <t>Model 5408A3SHA1E11R4AACAA4PC1M5Q4
Range:-0-14m, flange connection
Suitable for medium:- coal</t>
  </si>
  <si>
    <t>MCV-302</t>
  </si>
  <si>
    <t>PCI_THERMOCOUPLE</t>
  </si>
  <si>
    <t>PCI_RTD-PT100</t>
  </si>
  <si>
    <t>PCI_Bed  LVL Transmitter</t>
  </si>
  <si>
    <t>PCI UV Detector</t>
  </si>
  <si>
    <t>Radar  Model 5402ASH1E5YJAM1</t>
  </si>
  <si>
    <t>PCI_level switch</t>
  </si>
  <si>
    <t>PCI_PT 3051CG4A +0-0.2Kg/cm²</t>
  </si>
  <si>
    <t>PCI_PT 3051DR2A 0 -0.01-0.01Kg/cm²</t>
  </si>
  <si>
    <t>PCI_PT 3051CG3A +0-0.06Kg/cm²</t>
  </si>
  <si>
    <t>PCI_PT 3051CG3A -0.05-0Kg/cm²</t>
  </si>
  <si>
    <t>PCI_PT 3051CG4A -0.05-0.1Kg/cm²</t>
  </si>
  <si>
    <t>PCI_PT 3051L5A-0.15-0Kg/cm²</t>
  </si>
  <si>
    <t>PCI_PT 3051DR2A -0.015-0Kg/cm²</t>
  </si>
  <si>
    <t>PCI_PT 3051L4A -0.15-0.15Kg/cm²</t>
  </si>
  <si>
    <t>PCI_PT 3051CG7A -0.015-0Kg/cm²</t>
  </si>
  <si>
    <t>PCI_PT 3051L7A 0-10Kg/cm²</t>
  </si>
  <si>
    <t>PCI_FT (0-2.5 kpa)</t>
  </si>
  <si>
    <t>PCI_FT (0-6 kpa)</t>
  </si>
  <si>
    <t>PCI_FT (0-467.7 pa)</t>
  </si>
  <si>
    <t>PCI_FT (0-1427.8 pa)</t>
  </si>
  <si>
    <t>PCI_FT (0-16kpa)</t>
  </si>
  <si>
    <t>PCI_FT (0-10kpa)</t>
  </si>
  <si>
    <t>PCI_FT (0-7 kpa)</t>
  </si>
  <si>
    <t>PCI_FT-(0-90 kpa)</t>
  </si>
  <si>
    <t>PCI_FT (0-20 kpa)</t>
  </si>
  <si>
    <t>PCI_FT- (0-100 kpa)</t>
  </si>
  <si>
    <t>PCI_MCV DN300</t>
  </si>
  <si>
    <t>PCI_MCV DN400</t>
  </si>
  <si>
    <t>PCI_MCV DN600</t>
  </si>
  <si>
    <t>PCI_MCV DN800</t>
  </si>
  <si>
    <t>PCI_MCV DN1000</t>
  </si>
  <si>
    <t>PCI_MCV DN350</t>
  </si>
  <si>
    <t>PCI_MCV DY1000</t>
  </si>
  <si>
    <t>PCI_FSV DN 350</t>
  </si>
  <si>
    <t>PCI_FSV DN 250</t>
  </si>
  <si>
    <t>PCI_FSV DN 25</t>
  </si>
  <si>
    <t>PCI_FSV DN25 SZ146</t>
  </si>
  <si>
    <t>PCI_FSV DN40</t>
  </si>
  <si>
    <t>PCI_FSV DN50</t>
  </si>
  <si>
    <t>PCI_FSV DN100</t>
  </si>
  <si>
    <t>PCI_FSV DN 25 SZ180</t>
  </si>
  <si>
    <t>PCI_FSV DN250</t>
  </si>
  <si>
    <t>PCI_PCV DN25</t>
  </si>
  <si>
    <t>PCI_PCV DN40 FILM</t>
  </si>
  <si>
    <t xml:space="preserve">PCI_PCV DN40 </t>
  </si>
  <si>
    <t>PCI_PCV DN50</t>
  </si>
  <si>
    <t>PCI_PCV DN 80</t>
  </si>
  <si>
    <t>PCI_BOKE 4M310-08</t>
  </si>
  <si>
    <t>PCI_BOKE 4V310-10</t>
  </si>
  <si>
    <t>PCI_POSTNR_YT1000RDi131</t>
  </si>
  <si>
    <t>PCI_POSITNR_YT1000LS1</t>
  </si>
  <si>
    <t>PCI_LOAD CELL-RTD 4.7T</t>
  </si>
  <si>
    <t>PCI_LOAD CELL-RTD 68T</t>
  </si>
  <si>
    <t>PCI_LOAD CELL-PWS 100KG</t>
  </si>
  <si>
    <t>PCI_ENCODER</t>
  </si>
  <si>
    <t>PCI_JAM SWITCH</t>
  </si>
  <si>
    <t>PCI_COAL FLOW METER</t>
  </si>
  <si>
    <t>PCI_ZMF-Y-76S</t>
  </si>
  <si>
    <t>Model no-ZMF-Y-76S, Supply Voltage:- 24 VDC</t>
  </si>
  <si>
    <t>PCI_LIFT VALVE</t>
  </si>
  <si>
    <t>LIFT Valve for Bag filter</t>
  </si>
  <si>
    <t>Model- 4v310-10 , Pressure- 1.5-8 kgf/cm2, Make- KUROGANE</t>
  </si>
  <si>
    <t>SOV-104,106</t>
  </si>
  <si>
    <t xml:space="preserve">SV101/102/ 103/105/10 6/107
</t>
  </si>
  <si>
    <t>GC01, abb approved</t>
  </si>
  <si>
    <t>PP01</t>
  </si>
  <si>
    <t xml:space="preserve"> 5 Way Ball Valve, SS316, ¼ ", ABB Vendor approved- </t>
  </si>
  <si>
    <t>MP01, MP02</t>
  </si>
  <si>
    <t>FM01</t>
  </si>
  <si>
    <t xml:space="preserve">SWITCHING AMPLIFIER (For low Flow Alarm) Power Supply: 24VDC
</t>
  </si>
  <si>
    <t>SA01</t>
  </si>
  <si>
    <t>CONDENSATE MONITOR with membrane Filter papers, ABB Vendor approved</t>
  </si>
  <si>
    <t>CM01</t>
  </si>
  <si>
    <t>SU01</t>
  </si>
  <si>
    <t>PL01</t>
  </si>
  <si>
    <t>HD01</t>
  </si>
  <si>
    <t>GA01</t>
  </si>
  <si>
    <t>1 Set</t>
  </si>
  <si>
    <t xml:space="preserve"> 2 Way Ball Valve, SS316, 1/4 ”- Make- Baldota.
</t>
  </si>
  <si>
    <t>BV01,BV02,BV04</t>
  </si>
  <si>
    <t>8(2x4)</t>
  </si>
  <si>
    <t>24(6x4)</t>
  </si>
  <si>
    <t>4(4x1)</t>
  </si>
  <si>
    <t>8(4x2)</t>
  </si>
  <si>
    <t>12(4x3)</t>
  </si>
  <si>
    <t>SV01/SV02</t>
  </si>
  <si>
    <t>4(1x4)</t>
  </si>
  <si>
    <t>BV03</t>
  </si>
  <si>
    <t xml:space="preserve">HMI DISPLAY, 4.3” Power Supply: 24VDC With PLC interconnecting cable
Part no- 1sAP504100R0001
24V- 0.25A 
Class 2
V-100701A07006140
Ref S no- AA4001005000022478AA
Make- ABB
</t>
  </si>
  <si>
    <t xml:space="preserve">SWITCHING UNIT (For Condensate alarm) Power Supply: 220VAC, 50 Hz
E.L.B.
ER 144/A
Make- ABB
</t>
  </si>
  <si>
    <t xml:space="preserve">PLC (AC500 SERIES) With CPU(PM-554-R) And Necessary I/O Cards(DO-571) Power Supply: 24VDC
PL01- CPU PM554-RP-AC 8DI 24VDC 6DO-R 240VAC 2A -01 No.
Module- DO 571-8DO-R 240VAC 2A- 1No.
                   DO 571  8DO-R 240VAC 2A- 1No.
Make- ABB
</t>
  </si>
  <si>
    <t xml:space="preserve">EASYLINE ANALYZER (EL3000 series) Power Supply: 220 VAC, 50Hz Output: 4 - 20 mA,  Per Component With DI/DO card With 19” Rack Mounted Housing Enclosure: IP20.
With Uras 26 Module Measuring Component 1: CO Measuring Range 1: 0 To 2 Vol%
With Magnos 28 Module Measuring Component 1: O2 Measuring Range 1: 0 To 21 Vol%
MAke- ABB
</t>
  </si>
  <si>
    <t xml:space="preserve">GLASS TUBE FLOWMETER WITH P&amp;F MAKE RING SENSOR UNIT Range: 7-70 LPH Size: ¼”, Make- PLACKA
Model no- GA- 10
</t>
  </si>
  <si>
    <t xml:space="preserve"> MTL5516C SWITCH/ PROXIMITY DETECTOR INTERFACE 2-channel, with line fault detection
Response time: 10ms maximum 10ms maximum Contact rating (Safe Area): 10W, 0.5A,  35V dc 250V ac, 2A, cosØ &gt;0.7, 40V dc, 2A, resistive load Contact rating (Zone 2): 10W, 0.5A,  35V dc 35V, 2A, 100VA.
MAke-Eaton Electric Limited, 
</t>
  </si>
  <si>
    <t xml:space="preserve">SAMPLE &amp; BYPASS PUMP Capacity: 280 LPH Power Supply: 220VAC, 50 Hz, Make- knf
Type- PM31272-86
Power- 55W,I-0.6A.
</t>
  </si>
  <si>
    <t>SOLENOID VALVE, 3 WAY MOC: SS Size: 1/4” Power Supply: 220VAC, 50 Hz, Make- ASCO
CAT NO- SCX8320A201V</t>
  </si>
  <si>
    <t xml:space="preserve"> PERISTALTIC PUMP Power Supply: 220VAC, 50 Hz,Make- ASF Thomas
POWER-5.5w
S3;40 DEG- 2 MIN ON/2 MIN OFF
REF S. NnO.-70300001
</t>
  </si>
  <si>
    <t>Dixell XR03CX 
XR03CX- 5Noco
LIFDBXB5AA
T-60 Deg C
R.H.-20-85 %
Probe- 3.5 VA Max- NTC</t>
  </si>
  <si>
    <t>SOLENOID VALVE, 2 WAY MOC: SS Size: 1/4” Power Supply: 220VAC, 50 Hz, Make-ASCO
Cat No- SCX5202C220V</t>
  </si>
  <si>
    <t xml:space="preserve">SOLENOID VALVE, 2 WAY MOC: BRASS Size: 1/2” Power Supply: 220VAC, 50 Hz
SCX8210C094MB
</t>
  </si>
  <si>
    <t>PCI_ANALYSER_SV_1/4</t>
  </si>
  <si>
    <t>PCI_ANALYSER_SV_1/2</t>
  </si>
  <si>
    <t>PCI_ANALYSER_GASCOOLER</t>
  </si>
  <si>
    <t xml:space="preserve">SAMPLE GAS COOLER Dual Gas Path SS coils Power Supply: 220VAC, 50Hz,Mains- 230V AC 50 HZ
Model No- C.G.EK.  - 5
Gas charge- 134-A
Super Refrigeration Industries.
Com No-B042069B
Including Temperature sensor
</t>
  </si>
  <si>
    <t>PCI_ANALYSER_PERISTALTIC_PUMP</t>
  </si>
  <si>
    <t>PCI_BV_1/4</t>
  </si>
  <si>
    <t>PCI_SV_3WAY_1/4</t>
  </si>
  <si>
    <t>PCI_BV_5WAY_1/4</t>
  </si>
  <si>
    <t>PCI_GAS_FLOW_METER</t>
  </si>
  <si>
    <t>PCI_ANALYSER_HMI\</t>
  </si>
  <si>
    <t>PCI_ANALSZER_CONTROLLER\</t>
  </si>
  <si>
    <t>PCI_ANALYZER_PROXY_DETECTOR</t>
  </si>
  <si>
    <t>PCI_ALALYZER_TIC</t>
  </si>
  <si>
    <t>PCI_ANALYZER_SWITCHAMPLIFIER</t>
  </si>
  <si>
    <t>PCI_ANALYZER_COND_MONITOR</t>
  </si>
  <si>
    <t>PCI_ANALZER_SU</t>
  </si>
  <si>
    <t>PCI_ANALZER_PLC</t>
  </si>
  <si>
    <t>PCI_ANALYZER_PUMP</t>
  </si>
  <si>
    <t>Qty avbl</t>
  </si>
  <si>
    <t xml:space="preserve">FSV-506 PNEUMATIC BUTTERFLY VALVE - DN250 </t>
  </si>
  <si>
    <t>FSV502/511 PNEUMATIC BALL VALVE -DN25</t>
  </si>
  <si>
    <t>FSV-512 PNEUMATIC  3 WAY BALL VALVE -DN25</t>
  </si>
  <si>
    <t>FSV-507/508 PNEUMATIC BALL VALVE -DN40</t>
  </si>
  <si>
    <t>FSV401/402PNEUMATIC BALL VALVE -DN500</t>
  </si>
  <si>
    <t>FSV-509/535PNEUMATIC BALL VALVE -DN50</t>
  </si>
  <si>
    <t>FCV-502PNEUMATIC BALL VALVE -DN40</t>
  </si>
  <si>
    <t>FCV-501 PNEUMATIC BALL VALVE -DN80</t>
  </si>
  <si>
    <t xml:space="preserve"> Pneumatic dome valves </t>
  </si>
  <si>
    <t>FSV401/402PNEUMATIC BALL VALVE -DN50</t>
  </si>
  <si>
    <t>SPARES IN PCI PLANT</t>
  </si>
  <si>
    <t>SL no</t>
  </si>
  <si>
    <t>Description</t>
  </si>
  <si>
    <t>Qty</t>
  </si>
  <si>
    <t>Location</t>
  </si>
  <si>
    <t>THERMOCOUPLE</t>
  </si>
  <si>
    <t>RACK-1 ANALYSER ROOM</t>
  </si>
  <si>
    <t>RTD</t>
  </si>
  <si>
    <t xml:space="preserve">CAT6 CABLE </t>
  </si>
  <si>
    <t>2 BOX</t>
  </si>
  <si>
    <t>LPBS JB</t>
  </si>
  <si>
    <t>BAGFILTER  DIAPHGRAM SOV</t>
  </si>
  <si>
    <t>HOOTER WITH RED LIGHT</t>
  </si>
  <si>
    <t>MICROWAVE SOLIDS FLOW MONITORS</t>
  </si>
  <si>
    <t>CHINESSE SMALL -JB</t>
  </si>
  <si>
    <t>CHINESSE BIG- JB</t>
  </si>
  <si>
    <t>8MM BALL VALVE</t>
  </si>
  <si>
    <t>3 WAY MANIFOLD</t>
  </si>
  <si>
    <t>1/2" BALL VALVE</t>
  </si>
  <si>
    <t>DOME VALVE ACTUATOR</t>
  </si>
  <si>
    <t xml:space="preserve"> RACK- 2 ANALYSER ROOM</t>
  </si>
  <si>
    <t>PULLCORD SWITCH FOR CONVEYOR</t>
  </si>
  <si>
    <t>BELTSWAY SWITCH FOR CONVEYOR</t>
  </si>
  <si>
    <t>CO TRANSMITTER</t>
  </si>
  <si>
    <t>O2 TRANSMITTER</t>
  </si>
  <si>
    <t>PATCH KIT</t>
  </si>
  <si>
    <t>1 BOX</t>
  </si>
  <si>
    <t>NOTIFIER (FDA SYSTEM)</t>
  </si>
  <si>
    <t>NOTIFIER CONTROL UNIT (FDA SYSTEM)</t>
  </si>
  <si>
    <t>SMALL JB (FDA SYSTEM)</t>
  </si>
  <si>
    <t>FIRE DETECTOR  (FDA SYSTEM)</t>
  </si>
  <si>
    <t>ALARM INDICATORS  (FDA SYSTEM)</t>
  </si>
  <si>
    <t>CONTROL CARD (FDA SYSTEM)</t>
  </si>
  <si>
    <t>CONTROL DISPLAY UNIT (FDA SYSTEM)</t>
  </si>
  <si>
    <t>CONTROL POWER SUPPLY UNIT (FDA SYSTEM)</t>
  </si>
  <si>
    <t>ABB CONTROLLER PCB DEFECTIVE</t>
  </si>
  <si>
    <t>PERISTALIC PUMP</t>
  </si>
  <si>
    <t>BLANK MODULE PLATES</t>
  </si>
  <si>
    <t>SMALL FIBER JBS</t>
  </si>
  <si>
    <t>T-TYPE GI CONNECTOR</t>
  </si>
  <si>
    <t>T JOINT WELDEBLE</t>
  </si>
  <si>
    <t>1/2" GI NIPPLE</t>
  </si>
  <si>
    <t>STRAIGHT CONNECTOR</t>
  </si>
  <si>
    <t>8MM-10MM BALL WALVE</t>
  </si>
  <si>
    <t>1/2" SS SOCKET</t>
  </si>
  <si>
    <t>1/2"WELDABLE UNION</t>
  </si>
  <si>
    <t>LIMIT SWITCH BOLTS&amp;NUTS</t>
  </si>
  <si>
    <t>U TYPE 2"</t>
  </si>
  <si>
    <t>SCHENCK PROCESS DEFECTIVE CONTROLLER</t>
  </si>
  <si>
    <t>PULL CORD ROPE</t>
  </si>
  <si>
    <t>50MTR</t>
  </si>
  <si>
    <t>PROFIBUS CABLE</t>
  </si>
  <si>
    <t>150MTR</t>
  </si>
  <si>
    <t>1/4 NIPPLE</t>
  </si>
  <si>
    <t>RACK-3 ANALYSER ROOM</t>
  </si>
  <si>
    <t>BENT IRON JOINT</t>
  </si>
  <si>
    <t>1/4 T-TYPE CONNECTOR</t>
  </si>
  <si>
    <t>1/2" WELDABLE SOCKET</t>
  </si>
  <si>
    <t>1/2" -3/4 STRAIGHT CONNECTOR</t>
  </si>
  <si>
    <t>1/4THREADED SOCKET SS</t>
  </si>
  <si>
    <t xml:space="preserve">U TYPE 1/2" </t>
  </si>
  <si>
    <t>PRESSURE TRANSMITTER DIAPHRAGM TYPE</t>
  </si>
  <si>
    <t>CABINET-1 PLC  ROOM</t>
  </si>
  <si>
    <t>PRESSURE TRANSMITTER (0-1 KG/CM2)</t>
  </si>
  <si>
    <t>PRESSURE TRANSMITTER (0-10 KG/CM2)</t>
  </si>
  <si>
    <t>PRESSURE TRANSMITTER (0-0.2 KG/CM2)</t>
  </si>
  <si>
    <t>PRESSURE TRANSDUCER 0-25 BAR</t>
  </si>
  <si>
    <t>VIBRATION TRANSMITTER</t>
  </si>
  <si>
    <t>PVC TUBE 8MM</t>
  </si>
  <si>
    <t>1BOX</t>
  </si>
  <si>
    <t>PVC TUBE 10MM</t>
  </si>
  <si>
    <t>PRESSURE GAUGE (0-1 MPA)</t>
  </si>
  <si>
    <t>PRESSURE GAUGE (0-16 KG)</t>
  </si>
  <si>
    <t>PRESSURE GAUGE (0-1 KG)</t>
  </si>
  <si>
    <t>PRESSURE GAUGE (0-10KG) SMALL</t>
  </si>
  <si>
    <t>TEMPERATURE GAUGE (0-100 deg C)</t>
  </si>
  <si>
    <t>TEMPERATURE GAUGE (0-180 deg C)</t>
  </si>
  <si>
    <t>RADAR TYPE LEVEL TRANSMITTER (0-5 MTR)</t>
  </si>
  <si>
    <t xml:space="preserve">LOADCELL 4.7 TON </t>
  </si>
  <si>
    <t>RTD &amp;TC TRANSMITTER</t>
  </si>
  <si>
    <t>FLAME DETECTOR</t>
  </si>
  <si>
    <t>FLOW TRANSMITTER (0-100MPA)</t>
  </si>
  <si>
    <t>FLOW JAM SWITCH</t>
  </si>
  <si>
    <t>PRESSURE TRANMITTER (0-10KG)</t>
  </si>
  <si>
    <t xml:space="preserve">ZERO SPEED SWITCH(ZSS 110V AC) </t>
  </si>
  <si>
    <t>SCHENCK PROCESS  DISO BOX</t>
  </si>
  <si>
    <t>CABINET-2PLC  ROOM</t>
  </si>
  <si>
    <t>LIU UNIT</t>
  </si>
  <si>
    <t>D-LINK ADAPTER PANNEL</t>
  </si>
  <si>
    <t>D-LINK  PATCH CORD</t>
  </si>
  <si>
    <t>CAMERA CABLE</t>
  </si>
  <si>
    <t>RTD CABLE FOR VRM ROLLER BEARING TEMP</t>
  </si>
  <si>
    <t>40 MTR</t>
  </si>
  <si>
    <t>2 PAIR TELEPHONE CABLE</t>
  </si>
  <si>
    <t>3 ROLL</t>
  </si>
  <si>
    <t>HYDRAULIC SOLENOID VALVE SET</t>
  </si>
  <si>
    <t>1 SET</t>
  </si>
  <si>
    <t>8 MM PUSH FIT STRAIGHT CONNECTOR</t>
  </si>
  <si>
    <t>CABINET-3                    PLC  ROOM</t>
  </si>
  <si>
    <t>10 MM PUSH FIT STRAIGHT CONNECTOR</t>
  </si>
  <si>
    <t>10 MM 3/4 CONNECTOR</t>
  </si>
  <si>
    <t>8 MM 3/4 CONNECTOR</t>
  </si>
  <si>
    <t>10 MM T-TYPE PUSH FIT CONNECTOR</t>
  </si>
  <si>
    <t>8 MM T-TYPE PUSH FIT CONNECTOR</t>
  </si>
  <si>
    <t>1/2 " TO 1/4 BRASS FITTINGS</t>
  </si>
  <si>
    <t>10 MM PUSH FIT 1/2" CONNECTOR</t>
  </si>
  <si>
    <t>O RING FOR MANIFOLD</t>
  </si>
  <si>
    <t>8 MM PUSH FIT 1/4 CONNECTOR</t>
  </si>
  <si>
    <t>10 MM PUSH FIT 1/4 CONNECTOR</t>
  </si>
  <si>
    <t>SIEMENS 24VDC PSU</t>
  </si>
  <si>
    <t>SIEMENS BUS CONNECTOR</t>
  </si>
  <si>
    <t>AUMA 24VDC PSU</t>
  </si>
  <si>
    <t>220 VAC RELAY</t>
  </si>
  <si>
    <t>PLC -CPU  CONNECTOR FOR PC</t>
  </si>
  <si>
    <t>220VAC G-50 COIL</t>
  </si>
  <si>
    <t>VGA CABLE</t>
  </si>
  <si>
    <t>MS OFFICE  SOFTWARE CD</t>
  </si>
  <si>
    <t>ABB GAS ANALYZER SOFTWARE CD</t>
  </si>
  <si>
    <t>D-LINK PATCH CORD DUPLEX</t>
  </si>
  <si>
    <t>RS485-RS232 CONVERTER WITH CONNECTER</t>
  </si>
  <si>
    <t>ALL IN ONE CARD READER</t>
  </si>
  <si>
    <t xml:space="preserve">AC REMOTE </t>
  </si>
  <si>
    <t>24VDC SOV FOR LPG  LINE IN HGG</t>
  </si>
  <si>
    <t>DISOMAT SOFTWARE CD</t>
  </si>
  <si>
    <t>ANCHOR SPIKE GUARD</t>
  </si>
  <si>
    <t>SCHENCK PROCESS WEIGH FEEDER ELECTRONIC CARD</t>
  </si>
  <si>
    <t>UPS KEY</t>
  </si>
  <si>
    <t>PA SYSTEM TABLE TOP</t>
  </si>
  <si>
    <t>HART</t>
  </si>
  <si>
    <t>MASIBUS SOURCE (ma &amp; mv)</t>
  </si>
  <si>
    <t>MANNUALS &amp; DRAWINGS</t>
  </si>
  <si>
    <t>IN STORE</t>
  </si>
  <si>
    <t>ANALYSER ROOM</t>
  </si>
  <si>
    <t>ceramic filter</t>
  </si>
  <si>
    <t xml:space="preserve">probe o ring </t>
  </si>
  <si>
    <t>probe filter</t>
  </si>
  <si>
    <t>Spare AO</t>
  </si>
  <si>
    <t>XC410</t>
  </si>
  <si>
    <t>13,14</t>
  </si>
  <si>
    <t>PQW264</t>
  </si>
  <si>
    <t>C2</t>
  </si>
  <si>
    <t>AO</t>
  </si>
  <si>
    <t>4-20 ma o/p</t>
  </si>
  <si>
    <t>Spare AI</t>
  </si>
  <si>
    <t>XE307</t>
  </si>
  <si>
    <t>26+,27-</t>
  </si>
  <si>
    <t>PIW 554</t>
  </si>
  <si>
    <t>C3</t>
  </si>
  <si>
    <t>AI (4-20mA)</t>
  </si>
  <si>
    <t>4W</t>
  </si>
  <si>
    <t>31+,32-</t>
  </si>
  <si>
    <t>PIW 556</t>
  </si>
  <si>
    <t>Spare DO_Q 26.0</t>
  </si>
  <si>
    <t>Spare DO</t>
  </si>
  <si>
    <t>XE203</t>
  </si>
  <si>
    <t>41,51</t>
  </si>
  <si>
    <t>Q 26.0</t>
  </si>
  <si>
    <t>Spare DO_Q 26.1</t>
  </si>
  <si>
    <t>42,52</t>
  </si>
  <si>
    <t>Q 26.1</t>
  </si>
  <si>
    <t>Spare DO_Q 26.2</t>
  </si>
  <si>
    <t>43,53</t>
  </si>
  <si>
    <t>Q 26.2</t>
  </si>
  <si>
    <t>Spare DI</t>
  </si>
  <si>
    <t>XF101</t>
  </si>
  <si>
    <t>62,72</t>
  </si>
  <si>
    <t>I 51.1</t>
  </si>
  <si>
    <t>63,73</t>
  </si>
  <si>
    <t>I 51.2</t>
  </si>
  <si>
    <t>64,74</t>
  </si>
  <si>
    <t>I 51.3</t>
  </si>
  <si>
    <t>65,75</t>
  </si>
  <si>
    <t>I 51.4</t>
  </si>
  <si>
    <t>66,76</t>
  </si>
  <si>
    <t>I 51.5</t>
  </si>
  <si>
    <t>67,77</t>
  </si>
  <si>
    <t>I 51.6</t>
  </si>
  <si>
    <t>68,78</t>
  </si>
  <si>
    <t>I 51.7</t>
  </si>
  <si>
    <t>JUL</t>
  </si>
  <si>
    <t>AUG</t>
  </si>
  <si>
    <t>SEP</t>
  </si>
  <si>
    <t>OCT</t>
  </si>
  <si>
    <t>NOV</t>
  </si>
  <si>
    <t>DEC</t>
  </si>
  <si>
    <t>CHECKLIST</t>
  </si>
  <si>
    <t>AIR COMPRESSOR SPARES</t>
  </si>
  <si>
    <t>TAG</t>
  </si>
  <si>
    <t>1SV</t>
  </si>
  <si>
    <t>6SV</t>
  </si>
  <si>
    <t>9SV</t>
  </si>
  <si>
    <t>SOLENOID VALVE FOR LOAD</t>
  </si>
  <si>
    <t>DISCHARGE CONDENSATE VALVE</t>
  </si>
  <si>
    <t>SOV</t>
  </si>
  <si>
    <t>1AVPT</t>
  </si>
  <si>
    <t>PRESSURE TRANSDUCER FOR INLET VACCUM</t>
  </si>
  <si>
    <t>2APT</t>
  </si>
  <si>
    <t>2ND STAGE INLET PRESSURE</t>
  </si>
  <si>
    <t>3APT</t>
  </si>
  <si>
    <t>2ND STAGE DISCHARGE PRESSURE</t>
  </si>
  <si>
    <t>4APT</t>
  </si>
  <si>
    <t>PACKAGE DISCHARGE PRESSURE</t>
  </si>
  <si>
    <t xml:space="preserve">Qty </t>
  </si>
  <si>
    <t>5OPT</t>
  </si>
  <si>
    <t>OIL FILTER INLET PRESSURE</t>
  </si>
  <si>
    <t>6OPT</t>
  </si>
  <si>
    <t>BEARING OIL PRESSURE</t>
  </si>
  <si>
    <t>PT</t>
  </si>
  <si>
    <t>2ATT</t>
  </si>
  <si>
    <t>1ST STAGE DISCHARGE TEMPERATURE</t>
  </si>
  <si>
    <t>TT</t>
  </si>
  <si>
    <t>3ATT</t>
  </si>
  <si>
    <t>2ND STAGE INLET TEMPERATURE</t>
  </si>
  <si>
    <t>4ATT</t>
  </si>
  <si>
    <t>2ND STAGE DISCHARGE TEMPERATURE</t>
  </si>
  <si>
    <t>5OTT</t>
  </si>
  <si>
    <t>BEARING OIL TEMPERATURE</t>
  </si>
  <si>
    <t>7ATT</t>
  </si>
  <si>
    <t>PACKAGE DISCHARGE TEMPERATURE</t>
  </si>
  <si>
    <t>AIR DRYER TEMP PROBE -1</t>
  </si>
  <si>
    <t>AIR DRYER TEMP PROBE -2</t>
  </si>
  <si>
    <t>AIR DRYER TEMP PROBE -3</t>
  </si>
  <si>
    <t>AIR DRYER TEMP PROBE -4</t>
  </si>
  <si>
    <t>PB1</t>
  </si>
  <si>
    <t>PB2</t>
  </si>
  <si>
    <t>PB3</t>
  </si>
  <si>
    <t>PB4</t>
  </si>
  <si>
    <t>FAN PRESSURE SWITCH</t>
  </si>
  <si>
    <t>COMPRESSOR THERMAL SWITCH</t>
  </si>
  <si>
    <t>FPS</t>
  </si>
  <si>
    <t>CTS</t>
  </si>
  <si>
    <t>THERMOSTAT</t>
  </si>
  <si>
    <t>PS</t>
  </si>
  <si>
    <t>TS</t>
  </si>
  <si>
    <r>
      <t>Pg2.5kg/cm</t>
    </r>
    <r>
      <rPr>
        <vertAlign val="superscript"/>
        <sz val="14"/>
        <color indexed="8"/>
        <rFont val="Arial"/>
        <family val="2"/>
      </rPr>
      <t>2</t>
    </r>
    <r>
      <rPr>
        <sz val="14"/>
        <color indexed="8"/>
        <rFont val="Arial"/>
        <family val="2"/>
      </rPr>
      <t>;medium: normal air; control: 4</t>
    </r>
    <r>
      <rPr>
        <sz val="14"/>
        <color indexed="8"/>
        <rFont val="宋体"/>
        <charset val="134"/>
      </rPr>
      <t>～</t>
    </r>
    <r>
      <rPr>
        <sz val="14"/>
        <color indexed="8"/>
        <rFont val="Arial"/>
        <family val="2"/>
      </rPr>
      <t>20mA,415VAC, explosion-proof
Dia- DN300
Model-DN941-2.5C
Make:- Gongkai</t>
    </r>
  </si>
  <si>
    <r>
      <t>Pg2.5kg/cm</t>
    </r>
    <r>
      <rPr>
        <vertAlign val="superscript"/>
        <sz val="14"/>
        <color indexed="8"/>
        <rFont val="Arial"/>
        <family val="2"/>
      </rPr>
      <t>2</t>
    </r>
    <r>
      <rPr>
        <sz val="14"/>
        <color indexed="8"/>
        <rFont val="Arial"/>
        <family val="2"/>
      </rPr>
      <t>; medium: hot gas, T≤200</t>
    </r>
    <r>
      <rPr>
        <sz val="14"/>
        <color indexed="8"/>
        <rFont val="宋体"/>
        <charset val="134"/>
      </rPr>
      <t>℃</t>
    </r>
    <r>
      <rPr>
        <sz val="14"/>
        <color indexed="8"/>
        <rFont val="Arial"/>
        <family val="2"/>
      </rPr>
      <t>,control:4</t>
    </r>
    <r>
      <rPr>
        <sz val="14"/>
        <color indexed="8"/>
        <rFont val="宋体"/>
        <charset val="134"/>
      </rPr>
      <t>～</t>
    </r>
    <r>
      <rPr>
        <sz val="14"/>
        <color indexed="8"/>
        <rFont val="Arial"/>
        <family val="2"/>
      </rPr>
      <t>20mA,415VAC, explosion-proof
Dia- DN400
Model-DN941-2.5C
Make:- Gongkai</t>
    </r>
  </si>
  <si>
    <r>
      <t>Pg2.5kg/cm</t>
    </r>
    <r>
      <rPr>
        <vertAlign val="superscript"/>
        <sz val="14"/>
        <color indexed="8"/>
        <rFont val="Arial"/>
        <family val="2"/>
      </rPr>
      <t>2</t>
    </r>
    <r>
      <rPr>
        <sz val="14"/>
        <color indexed="8"/>
        <rFont val="Arial"/>
        <family val="2"/>
      </rPr>
      <t>;medium: hot gas,T=400</t>
    </r>
    <r>
      <rPr>
        <sz val="14"/>
        <color indexed="8"/>
        <rFont val="宋体"/>
        <charset val="134"/>
      </rPr>
      <t>℃，</t>
    </r>
    <r>
      <rPr>
        <sz val="14"/>
        <color indexed="8"/>
        <rFont val="Arial"/>
        <family val="2"/>
      </rPr>
      <t xml:space="preserve">
control: 4</t>
    </r>
    <r>
      <rPr>
        <sz val="14"/>
        <color indexed="8"/>
        <rFont val="宋体"/>
        <charset val="134"/>
      </rPr>
      <t>～</t>
    </r>
    <r>
      <rPr>
        <sz val="14"/>
        <color indexed="8"/>
        <rFont val="Arial"/>
        <family val="2"/>
      </rPr>
      <t>20mA , 415VAC,explosion-proof
Dia- DN600
Model-DN941-2.5C
Make:- Gongkai</t>
    </r>
  </si>
  <si>
    <r>
      <t>Pg2.5kg/cm</t>
    </r>
    <r>
      <rPr>
        <vertAlign val="superscript"/>
        <sz val="14"/>
        <color indexed="8"/>
        <rFont val="Arial"/>
        <family val="2"/>
      </rPr>
      <t>2</t>
    </r>
    <r>
      <rPr>
        <sz val="14"/>
        <color indexed="8"/>
        <rFont val="Arial"/>
        <family val="2"/>
      </rPr>
      <t>; medium: Hot gas,T≤100</t>
    </r>
    <r>
      <rPr>
        <sz val="14"/>
        <color indexed="8"/>
        <rFont val="宋体"/>
        <charset val="134"/>
      </rPr>
      <t>℃</t>
    </r>
    <r>
      <rPr>
        <sz val="14"/>
        <color indexed="8"/>
        <rFont val="Arial"/>
        <family val="2"/>
      </rPr>
      <t>, control: 4</t>
    </r>
    <r>
      <rPr>
        <sz val="14"/>
        <color indexed="8"/>
        <rFont val="宋体"/>
        <charset val="134"/>
      </rPr>
      <t>～</t>
    </r>
    <r>
      <rPr>
        <sz val="14"/>
        <color indexed="8"/>
        <rFont val="Arial"/>
        <family val="2"/>
      </rPr>
      <t>20mA,415VAC,explosion-proof
Dia- DN800
Model-DN941-2.5C
Make:- Gongkai</t>
    </r>
  </si>
  <si>
    <r>
      <t>Pg2.5kg/cm</t>
    </r>
    <r>
      <rPr>
        <vertAlign val="superscript"/>
        <sz val="14"/>
        <color indexed="8"/>
        <rFont val="Arial"/>
        <family val="2"/>
      </rPr>
      <t>2</t>
    </r>
    <r>
      <rPr>
        <sz val="14"/>
        <color indexed="8"/>
        <rFont val="Arial"/>
        <family val="2"/>
      </rPr>
      <t>; medium:hot gas,t</t>
    </r>
    <r>
      <rPr>
        <sz val="14"/>
        <color indexed="8"/>
        <rFont val="宋体"/>
        <charset val="134"/>
      </rPr>
      <t>＜</t>
    </r>
    <r>
      <rPr>
        <sz val="14"/>
        <color indexed="8"/>
        <rFont val="Arial"/>
        <family val="2"/>
      </rPr>
      <t>100</t>
    </r>
    <r>
      <rPr>
        <sz val="14"/>
        <color indexed="8"/>
        <rFont val="宋体"/>
        <charset val="134"/>
      </rPr>
      <t>℃</t>
    </r>
    <r>
      <rPr>
        <sz val="14"/>
        <color indexed="8"/>
        <rFont val="Arial"/>
        <family val="2"/>
      </rPr>
      <t>, control: 4</t>
    </r>
    <r>
      <rPr>
        <sz val="14"/>
        <color indexed="8"/>
        <rFont val="宋体"/>
        <charset val="134"/>
      </rPr>
      <t>～</t>
    </r>
    <r>
      <rPr>
        <sz val="14"/>
        <color indexed="8"/>
        <rFont val="Arial"/>
        <family val="2"/>
      </rPr>
      <t>20mA, 415VAC, explosion-proof
Dia- DN900
Model-DN941-2.5C
Make:- Gongkai</t>
    </r>
  </si>
  <si>
    <r>
      <t>Pg2.5kg/cm</t>
    </r>
    <r>
      <rPr>
        <vertAlign val="superscript"/>
        <sz val="14"/>
        <color indexed="8"/>
        <rFont val="Arial"/>
        <family val="2"/>
      </rPr>
      <t>2</t>
    </r>
    <r>
      <rPr>
        <sz val="14"/>
        <color indexed="8"/>
        <rFont val="Arial"/>
        <family val="2"/>
      </rPr>
      <t>; medium: hot gas, T=400</t>
    </r>
    <r>
      <rPr>
        <sz val="14"/>
        <color indexed="8"/>
        <rFont val="宋体"/>
        <charset val="134"/>
      </rPr>
      <t>℃</t>
    </r>
    <r>
      <rPr>
        <sz val="14"/>
        <color indexed="8"/>
        <rFont val="Arial"/>
        <family val="2"/>
      </rPr>
      <t>, control: 4</t>
    </r>
    <r>
      <rPr>
        <sz val="14"/>
        <color indexed="8"/>
        <rFont val="宋体"/>
        <charset val="134"/>
      </rPr>
      <t>～</t>
    </r>
    <r>
      <rPr>
        <sz val="14"/>
        <color indexed="8"/>
        <rFont val="Arial"/>
        <family val="2"/>
      </rPr>
      <t>20mA, 415VAC, explosion-proof
Dia- DN 1000
Model-DN941-2.5C
Make:- Gongkai</t>
    </r>
  </si>
  <si>
    <r>
      <t>,Pg2.5kg/cm</t>
    </r>
    <r>
      <rPr>
        <vertAlign val="superscript"/>
        <sz val="14"/>
        <color indexed="8"/>
        <rFont val="Arial"/>
        <family val="2"/>
      </rPr>
      <t>2</t>
    </r>
    <r>
      <rPr>
        <sz val="14"/>
        <color indexed="8"/>
        <rFont val="Arial"/>
        <family val="2"/>
      </rPr>
      <t>; medium: coal gas,T</t>
    </r>
    <r>
      <rPr>
        <sz val="14"/>
        <color indexed="8"/>
        <rFont val="宋体"/>
        <charset val="134"/>
      </rPr>
      <t>＜</t>
    </r>
    <r>
      <rPr>
        <sz val="14"/>
        <color indexed="8"/>
        <rFont val="Arial"/>
        <family val="2"/>
      </rPr>
      <t>100</t>
    </r>
    <r>
      <rPr>
        <sz val="14"/>
        <color indexed="8"/>
        <rFont val="宋体"/>
        <charset val="134"/>
      </rPr>
      <t>℃</t>
    </r>
    <r>
      <rPr>
        <sz val="14"/>
        <color indexed="8"/>
        <rFont val="Arial"/>
        <family val="2"/>
      </rPr>
      <t>,control:4</t>
    </r>
    <r>
      <rPr>
        <sz val="14"/>
        <color indexed="8"/>
        <rFont val="宋体"/>
        <charset val="134"/>
      </rPr>
      <t>～</t>
    </r>
    <r>
      <rPr>
        <sz val="14"/>
        <color indexed="8"/>
        <rFont val="Arial"/>
        <family val="2"/>
      </rPr>
      <t>20mA, 415VAC, explosion-proof
Dia- DN350
Model-DN943-2.5C
Make:- Gongkai</t>
    </r>
  </si>
  <si>
    <r>
      <t>,Pg2.5kg/cm</t>
    </r>
    <r>
      <rPr>
        <vertAlign val="superscript"/>
        <sz val="14"/>
        <color indexed="8"/>
        <rFont val="Arial"/>
        <family val="2"/>
      </rPr>
      <t>2</t>
    </r>
    <r>
      <rPr>
        <sz val="14"/>
        <color indexed="8"/>
        <rFont val="Arial"/>
        <family val="2"/>
      </rPr>
      <t>; medium: coal gas,T</t>
    </r>
    <r>
      <rPr>
        <sz val="14"/>
        <color indexed="8"/>
        <rFont val="宋体"/>
        <charset val="134"/>
      </rPr>
      <t>＜</t>
    </r>
    <r>
      <rPr>
        <sz val="14"/>
        <color indexed="8"/>
        <rFont val="Arial"/>
        <family val="2"/>
      </rPr>
      <t>100</t>
    </r>
    <r>
      <rPr>
        <sz val="14"/>
        <color indexed="8"/>
        <rFont val="宋体"/>
        <charset val="134"/>
      </rPr>
      <t>℃</t>
    </r>
    <r>
      <rPr>
        <sz val="14"/>
        <color indexed="8"/>
        <rFont val="Arial"/>
        <family val="2"/>
      </rPr>
      <t>,control:4</t>
    </r>
    <r>
      <rPr>
        <sz val="14"/>
        <color indexed="8"/>
        <rFont val="宋体"/>
        <charset val="134"/>
      </rPr>
      <t>～</t>
    </r>
    <r>
      <rPr>
        <sz val="14"/>
        <color indexed="8"/>
        <rFont val="Arial"/>
        <family val="2"/>
      </rPr>
      <t>20mA, 415VAC, explosion-proof
MODEL:-DY1000 MAKE -RIZHAO DEYI INTELLIGENT INSTRUMENT.CO.LTD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</si>
  <si>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fulverized coal, T＜100℃, DC24V, explosion-proof
Model:- D643H-2.5C, DN 350,Size-185mm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</si>
  <si>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fulverized coal, T＜100℃, DC24V, explosion-proof
Model:- D643Y-10C, DN 250,Size:-160mm
Make:- Gonkai</t>
    </r>
  </si>
  <si>
    <r>
      <t>Pg2.5kg/cm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nitrogen,T＜100℃, DC24V,explosion-proof
Model:- Q641-10C, DN 25,Size;187mm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</si>
  <si>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nitrogen, T＜100℃, DC24V,explosion-proof
Model:- Q641-10C, DN 25,Size:-146mm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</si>
  <si>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nitrogen,T＜100℃,DC24V, explosion-proof
Model:- Q641-10C, DN 40,Size-177mm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</si>
  <si>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color indexed="8"/>
        <rFont val="Arial"/>
        <family val="2"/>
      </rPr>
      <t>; medium: nitrogen, normal temp., control: switch value; DC24V,explosion-proof
Model:- Q641-10C, DN 50,Size-198mm
Make:- Gonkai</t>
    </r>
  </si>
  <si>
    <r>
      <t>Pg2.5kg/cm2; medium: air with dust
T</t>
    </r>
    <r>
      <rPr>
        <sz val="11"/>
        <color indexed="8"/>
        <rFont val="Arial"/>
        <family val="2"/>
      </rPr>
      <t>＜100℃, control: switch value; DC24V,explosion-proof
Model:- Q641-10C, DN 100,Size-277mm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</si>
  <si>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nitrogen,T＜100℃,DC24V,explosion-proof
Model:- Q645F-10C, DN 25,Size-180mm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</si>
  <si>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pulverized cial,T＜100℃，
control: switch value; DC24V,explosion-proof
Model:- YDF-10C, DN 250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</si>
  <si>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;medium: nitrogen,T＜100℃,DC24V,explosion-proof
Model:- ZJHP-10C, DN 25,Size-187mm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</si>
  <si>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nitrogen,T＜100℃,DC24V,explosion-proof
Model:- ZJHP-10C, DN 40,Size-222mm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</si>
  <si>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nitrogen,T＜100℃,DC24V,explosion-proof
Model:- VQ6T47H-10C, DN 40,Size-112mm
Make:- Gonkai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</si>
  <si>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 xml:space="preserve">;medium: nitrogen,T＜100℃,DC24V,explosion-proof
Model:- VQ647Y-10C, DN 50,Size-122mm
Make:- Gonkai
</t>
    </r>
  </si>
  <si>
    <r>
      <t>Pg10kg/cm</t>
    </r>
    <r>
      <rPr>
        <vertAlign val="superscript"/>
        <sz val="11"/>
        <color indexed="8"/>
        <rFont val="Arial"/>
        <family val="2"/>
      </rPr>
      <t>2</t>
    </r>
    <r>
      <rPr>
        <sz val="11"/>
        <rFont val="Arial"/>
        <family val="2"/>
      </rPr>
      <t>; medium: nitrogen,T＜100℃,DC24V,explosion-proof
Model:- VQ6T47H-10C, DN 80,Size:-163mm
Make:- Gonkai</t>
    </r>
  </si>
  <si>
    <r>
      <t xml:space="preserve">RTD SENSOR </t>
    </r>
    <r>
      <rPr>
        <b/>
        <sz val="14"/>
        <color theme="1"/>
        <rFont val="Calibri"/>
        <family val="2"/>
        <scheme val="minor"/>
      </rPr>
      <t>(COMPRESSOR ITEMS)</t>
    </r>
  </si>
  <si>
    <r>
      <t>THERMISTOR</t>
    </r>
    <r>
      <rPr>
        <b/>
        <sz val="14"/>
        <color theme="1"/>
        <rFont val="Calibri"/>
        <family val="2"/>
        <scheme val="minor"/>
      </rPr>
      <t>(COMPRESSOR ITEMS)</t>
    </r>
  </si>
  <si>
    <r>
      <t>SOV 110V</t>
    </r>
    <r>
      <rPr>
        <b/>
        <sz val="14"/>
        <color theme="1"/>
        <rFont val="Calibri"/>
        <family val="2"/>
        <scheme val="minor"/>
      </rPr>
      <t>(COMPRESSOR ITEMS)</t>
    </r>
  </si>
  <si>
    <r>
      <t xml:space="preserve">PRESSURE TRANSDUCER 225 PSI </t>
    </r>
    <r>
      <rPr>
        <b/>
        <sz val="14"/>
        <color theme="1"/>
        <rFont val="Calibri"/>
        <family val="2"/>
        <scheme val="minor"/>
      </rPr>
      <t>(COMPRESSOR ITEMS)</t>
    </r>
  </si>
  <si>
    <r>
      <t xml:space="preserve">PRESSURE TRANSDUCER 100 PSI </t>
    </r>
    <r>
      <rPr>
        <b/>
        <sz val="14"/>
        <color theme="1"/>
        <rFont val="Calibri"/>
        <family val="2"/>
        <scheme val="minor"/>
      </rPr>
      <t>(COMPRESSOR ITEMS)</t>
    </r>
  </si>
  <si>
    <r>
      <t xml:space="preserve">VACCUM TRANSDUCER 0-15 PSI </t>
    </r>
    <r>
      <rPr>
        <b/>
        <sz val="14"/>
        <color theme="1"/>
        <rFont val="Calibri"/>
        <family val="2"/>
        <scheme val="minor"/>
      </rPr>
      <t>(COMPRESSOR ITEMS)</t>
    </r>
  </si>
  <si>
    <r>
      <t xml:space="preserve">CHECK VALVE KIT </t>
    </r>
    <r>
      <rPr>
        <b/>
        <sz val="14"/>
        <color theme="1"/>
        <rFont val="Calibri"/>
        <family val="2"/>
        <scheme val="minor"/>
      </rPr>
      <t>(COMPRESSOR ITEMS)</t>
    </r>
  </si>
  <si>
    <t>Spare to be indent</t>
  </si>
  <si>
    <t>AVAILABLE</t>
  </si>
  <si>
    <t xml:space="preserve">3051L7AG0QA-11BA01K5L5M3J1  &amp; STR74G-11A0000-000000000-0-AHC-11C-0-01A0-00-000
Range: 0-10Kg/cm², output signal: 4-20mADC, with digital display, HART digital communication, intrinsically safe &amp; explosion-proof typematched with one nos. of ø50 flange     (HONEYWELL)                                                          </t>
  </si>
  <si>
    <t>TOTAL</t>
  </si>
  <si>
    <t>DISOMAT TERSUS CONTROLLER</t>
  </si>
  <si>
    <t>SHENCKPROCESS WEIGHFEEDER</t>
  </si>
  <si>
    <t>GLASSWOOL 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</si>
</sst>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22"/>
      <color theme="1"/>
      <name val="Calibri"/>
      <family val="2"/>
      <scheme val="minor"/>
    </font>
    <font>
      <sz val="10.5"/>
      <name val="Arial"/>
      <family val="2"/>
    </font>
    <font>
      <b/>
      <sz val="10.5"/>
      <name val="Arial"/>
      <family val="2"/>
    </font>
    <font>
      <sz val="12"/>
      <name val="Arial"/>
      <family val="2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name val="Arial"/>
      <family val="2"/>
    </font>
    <font>
      <sz val="8"/>
      <name val="Arial"/>
      <family val="2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sz val="11"/>
      <color rgb="FF000000"/>
      <name val="Arial"/>
      <family val="2"/>
    </font>
    <font>
      <vertAlign val="superscript"/>
      <sz val="11"/>
      <color indexed="8"/>
      <name val="Arial"/>
      <family val="2"/>
    </font>
    <font>
      <sz val="14"/>
      <color indexed="8"/>
      <name val="Arial"/>
      <family val="2"/>
    </font>
    <font>
      <sz val="14"/>
      <color rgb="FF000000"/>
      <name val="Arial"/>
      <family val="2"/>
    </font>
    <font>
      <vertAlign val="superscript"/>
      <sz val="14"/>
      <color indexed="8"/>
      <name val="Arial"/>
      <family val="2"/>
    </font>
    <font>
      <sz val="14"/>
      <color indexed="8"/>
      <name val="宋体"/>
      <charset val="134"/>
    </font>
    <font>
      <sz val="16"/>
      <name val="Arial"/>
      <family val="2"/>
    </font>
    <font>
      <b/>
      <sz val="11"/>
      <name val="Arial"/>
      <family val="2"/>
    </font>
    <font>
      <sz val="11"/>
      <color theme="1" tint="4.9989318521683403E-2"/>
      <name val="Arial"/>
      <family val="2"/>
    </font>
    <font>
      <b/>
      <sz val="16"/>
      <name val="Arial"/>
      <family val="2"/>
    </font>
    <font>
      <sz val="16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2" fillId="0" borderId="0"/>
  </cellStyleXfs>
  <cellXfs count="277">
    <xf numFmtId="0" fontId="0" fillId="0" borderId="0" xfId="0"/>
    <xf numFmtId="0" fontId="2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2" xfId="2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0" fontId="1" fillId="0" borderId="4" xfId="2" applyFill="1" applyBorder="1" applyAlignment="1">
      <alignment horizontal="center" vertical="center"/>
    </xf>
    <xf numFmtId="0" fontId="0" fillId="0" borderId="2" xfId="0" applyFill="1" applyBorder="1"/>
    <xf numFmtId="0" fontId="0" fillId="0" borderId="3" xfId="0" applyBorder="1" applyAlignment="1">
      <alignment vertical="center" wrapText="1"/>
    </xf>
    <xf numFmtId="0" fontId="3" fillId="0" borderId="3" xfId="2" applyFont="1" applyFill="1" applyBorder="1" applyAlignment="1">
      <alignment vertical="center"/>
    </xf>
    <xf numFmtId="0" fontId="3" fillId="0" borderId="2" xfId="2" applyFont="1" applyFill="1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center"/>
    </xf>
    <xf numFmtId="0" fontId="3" fillId="3" borderId="2" xfId="2" applyFont="1" applyFill="1" applyBorder="1" applyAlignment="1">
      <alignment horizontal="center" vertical="center"/>
    </xf>
    <xf numFmtId="0" fontId="0" fillId="0" borderId="2" xfId="0" applyBorder="1" applyAlignment="1">
      <alignment wrapText="1"/>
    </xf>
    <xf numFmtId="0" fontId="0" fillId="0" borderId="0" xfId="0" applyFill="1"/>
    <xf numFmtId="0" fontId="0" fillId="0" borderId="2" xfId="0" applyFill="1" applyBorder="1" applyAlignment="1"/>
    <xf numFmtId="0" fontId="0" fillId="0" borderId="2" xfId="2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2" xfId="0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7" fillId="0" borderId="0" xfId="0" applyFont="1" applyFill="1" applyAlignment="1">
      <alignment vertical="center"/>
    </xf>
    <xf numFmtId="0" fontId="5" fillId="0" borderId="15" xfId="0" applyFont="1" applyFill="1" applyBorder="1" applyAlignment="1">
      <alignment horizontal="center" vertical="center"/>
    </xf>
    <xf numFmtId="0" fontId="5" fillId="0" borderId="1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0" fillId="0" borderId="0" xfId="0" applyBorder="1"/>
    <xf numFmtId="0" fontId="5" fillId="0" borderId="0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" xfId="0" applyBorder="1" applyAlignment="1">
      <alignment vertical="top" wrapText="1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5" xfId="0" applyFill="1" applyBorder="1" applyAlignment="1">
      <alignment vertical="center"/>
    </xf>
    <xf numFmtId="0" fontId="0" fillId="4" borderId="5" xfId="0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/>
    </xf>
    <xf numFmtId="0" fontId="0" fillId="4" borderId="0" xfId="0" applyFill="1" applyAlignment="1">
      <alignment horizontal="center" vertical="center"/>
    </xf>
    <xf numFmtId="0" fontId="1" fillId="0" borderId="2" xfId="2" applyFill="1" applyBorder="1" applyAlignment="1">
      <alignment horizontal="center" vertical="center" wrapText="1"/>
    </xf>
    <xf numFmtId="0" fontId="0" fillId="0" borderId="2" xfId="2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2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1" fillId="0" borderId="1" xfId="2" applyFill="1" applyBorder="1" applyAlignment="1">
      <alignment horizontal="center" vertical="center"/>
    </xf>
    <xf numFmtId="0" fontId="1" fillId="0" borderId="1" xfId="2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" fillId="0" borderId="5" xfId="2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2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2" xfId="1" applyFont="1" applyFill="1" applyBorder="1" applyAlignment="1">
      <alignment horizontal="center" wrapText="1"/>
    </xf>
    <xf numFmtId="0" fontId="2" fillId="0" borderId="2" xfId="3" applyFont="1" applyFill="1" applyBorder="1" applyAlignment="1">
      <alignment horizontal="center" wrapText="1"/>
    </xf>
    <xf numFmtId="0" fontId="11" fillId="0" borderId="2" xfId="1" applyFont="1" applyFill="1" applyBorder="1" applyAlignment="1">
      <alignment horizontal="center"/>
    </xf>
    <xf numFmtId="0" fontId="10" fillId="0" borderId="2" xfId="1" applyFont="1" applyFill="1" applyBorder="1" applyAlignment="1">
      <alignment horizontal="center"/>
    </xf>
    <xf numFmtId="0" fontId="2" fillId="0" borderId="2" xfId="1" applyFont="1" applyFill="1" applyBorder="1" applyAlignment="1">
      <alignment horizontal="center" wrapText="1"/>
    </xf>
    <xf numFmtId="0" fontId="2" fillId="0" borderId="2" xfId="1" applyFont="1" applyFill="1" applyBorder="1" applyAlignment="1">
      <alignment horizontal="center"/>
    </xf>
    <xf numFmtId="0" fontId="0" fillId="6" borderId="2" xfId="0" applyFill="1" applyBorder="1" applyAlignment="1">
      <alignment horizontal="center" vertical="center"/>
    </xf>
    <xf numFmtId="0" fontId="2" fillId="0" borderId="2" xfId="3" applyFont="1" applyFill="1" applyBorder="1" applyAlignment="1">
      <alignment horizontal="center" vertical="center" wrapText="1"/>
    </xf>
    <xf numFmtId="0" fontId="11" fillId="2" borderId="2" xfId="1" applyFont="1" applyFill="1" applyBorder="1" applyAlignment="1">
      <alignment horizontal="center" vertical="center"/>
    </xf>
    <xf numFmtId="0" fontId="10" fillId="0" borderId="2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horizontal="center" vertical="center" wrapText="1"/>
    </xf>
    <xf numFmtId="0" fontId="10" fillId="0" borderId="2" xfId="1" applyFont="1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6" fillId="4" borderId="4" xfId="0" applyFont="1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/>
    <xf numFmtId="0" fontId="9" fillId="0" borderId="2" xfId="0" applyFont="1" applyBorder="1" applyAlignment="1">
      <alignment wrapText="1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Fill="1" applyBorder="1" applyAlignment="1">
      <alignment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5" fillId="0" borderId="2" xfId="1" applyFont="1" applyFill="1" applyBorder="1" applyAlignment="1">
      <alignment horizontal="center" vertical="center" wrapText="1"/>
    </xf>
    <xf numFmtId="0" fontId="9" fillId="0" borderId="2" xfId="2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0" fontId="0" fillId="4" borderId="4" xfId="0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16" fillId="0" borderId="4" xfId="0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center" vertical="center"/>
    </xf>
    <xf numFmtId="0" fontId="0" fillId="0" borderId="0" xfId="0" applyFont="1"/>
    <xf numFmtId="0" fontId="15" fillId="5" borderId="10" xfId="0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15" fillId="5" borderId="11" xfId="0" applyNumberFormat="1" applyFont="1" applyFill="1" applyBorder="1" applyAlignment="1">
      <alignment horizontal="center" vertical="center" wrapText="1" shrinkToFit="1"/>
    </xf>
    <xf numFmtId="0" fontId="15" fillId="0" borderId="12" xfId="0" applyFont="1" applyFill="1" applyBorder="1" applyAlignment="1">
      <alignment horizontal="center" vertical="center"/>
    </xf>
    <xf numFmtId="0" fontId="20" fillId="0" borderId="4" xfId="0" applyFont="1" applyFill="1" applyBorder="1" applyAlignment="1">
      <alignment horizontal="center" vertical="center" wrapText="1"/>
    </xf>
    <xf numFmtId="0" fontId="15" fillId="0" borderId="4" xfId="0" applyFont="1" applyFill="1" applyBorder="1" applyAlignment="1">
      <alignment horizontal="center" vertical="center"/>
    </xf>
    <xf numFmtId="0" fontId="21" fillId="0" borderId="4" xfId="0" applyFont="1" applyFill="1" applyBorder="1" applyAlignment="1">
      <alignment horizontal="center" vertical="center" wrapText="1"/>
    </xf>
    <xf numFmtId="0" fontId="21" fillId="3" borderId="4" xfId="0" applyFont="1" applyFill="1" applyBorder="1" applyAlignment="1">
      <alignment horizontal="center" vertical="center" wrapText="1"/>
    </xf>
    <xf numFmtId="0" fontId="15" fillId="0" borderId="13" xfId="0" applyFont="1" applyFill="1" applyBorder="1" applyAlignment="1">
      <alignment horizontal="center" vertical="center"/>
    </xf>
    <xf numFmtId="0" fontId="15" fillId="0" borderId="2" xfId="0" applyFont="1" applyFill="1" applyBorder="1" applyAlignment="1">
      <alignment horizontal="center" vertical="center"/>
    </xf>
    <xf numFmtId="0" fontId="21" fillId="0" borderId="2" xfId="0" applyFont="1" applyFill="1" applyBorder="1" applyAlignment="1">
      <alignment horizontal="center" vertical="center" wrapText="1"/>
    </xf>
    <xf numFmtId="0" fontId="21" fillId="3" borderId="2" xfId="0" applyFont="1" applyFill="1" applyBorder="1" applyAlignment="1">
      <alignment horizontal="center" vertical="center" wrapText="1"/>
    </xf>
    <xf numFmtId="0" fontId="21" fillId="0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5" fillId="0" borderId="18" xfId="0" applyFont="1" applyFill="1" applyBorder="1" applyAlignment="1">
      <alignment horizontal="center" vertical="center"/>
    </xf>
    <xf numFmtId="0" fontId="9" fillId="0" borderId="0" xfId="0" applyFont="1"/>
    <xf numFmtId="0" fontId="8" fillId="4" borderId="4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2" xfId="0" applyFont="1" applyBorder="1"/>
    <xf numFmtId="0" fontId="8" fillId="0" borderId="0" xfId="0" applyFont="1"/>
    <xf numFmtId="0" fontId="25" fillId="4" borderId="11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/>
    </xf>
    <xf numFmtId="0" fontId="17" fillId="0" borderId="4" xfId="0" applyFont="1" applyFill="1" applyBorder="1" applyAlignment="1">
      <alignment horizontal="left" vertical="center" wrapText="1"/>
    </xf>
    <xf numFmtId="0" fontId="18" fillId="0" borderId="2" xfId="0" applyFont="1" applyFill="1" applyBorder="1" applyAlignment="1">
      <alignment horizontal="left" vertical="center" wrapText="1"/>
    </xf>
    <xf numFmtId="0" fontId="16" fillId="3" borderId="2" xfId="0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left" vertical="center" wrapText="1"/>
    </xf>
    <xf numFmtId="0" fontId="16" fillId="0" borderId="2" xfId="0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17" fillId="0" borderId="2" xfId="0" applyFont="1" applyFill="1" applyBorder="1" applyAlignment="1">
      <alignment horizontal="left" vertical="center" wrapText="1"/>
    </xf>
    <xf numFmtId="0" fontId="26" fillId="0" borderId="2" xfId="0" applyFont="1" applyFill="1" applyBorder="1" applyAlignment="1">
      <alignment horizontal="left" vertical="center" wrapText="1"/>
    </xf>
    <xf numFmtId="0" fontId="16" fillId="0" borderId="0" xfId="0" applyFont="1" applyFill="1" applyAlignment="1">
      <alignment horizontal="center" vertical="center"/>
    </xf>
    <xf numFmtId="0" fontId="16" fillId="0" borderId="0" xfId="0" applyNumberFormat="1" applyFont="1" applyFill="1" applyAlignment="1">
      <alignment horizontal="left" vertical="center" wrapText="1" shrinkToFit="1"/>
    </xf>
    <xf numFmtId="0" fontId="0" fillId="0" borderId="0" xfId="0" applyFont="1" applyAlignment="1">
      <alignment horizontal="center" vertical="center"/>
    </xf>
    <xf numFmtId="0" fontId="0" fillId="3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4" fillId="0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center" vertical="center" wrapText="1"/>
    </xf>
    <xf numFmtId="0" fontId="27" fillId="0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8" fillId="0" borderId="2" xfId="0" applyFont="1" applyFill="1" applyBorder="1" applyAlignment="1">
      <alignment horizontal="center" vertical="center" wrapText="1"/>
    </xf>
    <xf numFmtId="0" fontId="24" fillId="0" borderId="0" xfId="0" applyFont="1" applyFill="1" applyBorder="1" applyAlignment="1">
      <alignment horizontal="center" vertical="center" wrapText="1"/>
    </xf>
    <xf numFmtId="0" fontId="8" fillId="0" borderId="5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8" fillId="3" borderId="5" xfId="0" applyFont="1" applyFill="1" applyBorder="1" applyAlignment="1">
      <alignment horizontal="center" vertical="center"/>
    </xf>
    <xf numFmtId="0" fontId="8" fillId="0" borderId="0" xfId="0" applyFont="1" applyBorder="1" applyAlignment="1">
      <alignment wrapText="1"/>
    </xf>
    <xf numFmtId="0" fontId="24" fillId="0" borderId="8" xfId="0" applyFont="1" applyFill="1" applyBorder="1" applyAlignment="1">
      <alignment horizontal="center" vertical="center" wrapText="1"/>
    </xf>
    <xf numFmtId="0" fontId="27" fillId="4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0" borderId="0" xfId="0" applyFont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left" vertical="center" wrapText="1"/>
    </xf>
    <xf numFmtId="0" fontId="24" fillId="0" borderId="0" xfId="0" applyFont="1" applyFill="1" applyBorder="1" applyAlignment="1">
      <alignment horizontal="left" vertical="center" wrapText="1"/>
    </xf>
    <xf numFmtId="0" fontId="24" fillId="0" borderId="0" xfId="0" applyFont="1" applyFill="1" applyAlignment="1">
      <alignment horizontal="center" vertical="center" wrapText="1"/>
    </xf>
    <xf numFmtId="0" fontId="9" fillId="4" borderId="2" xfId="0" applyFont="1" applyFill="1" applyBorder="1" applyAlignment="1">
      <alignment vertical="center"/>
    </xf>
    <xf numFmtId="0" fontId="9" fillId="0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center"/>
    </xf>
    <xf numFmtId="0" fontId="9" fillId="0" borderId="2" xfId="0" applyFont="1" applyBorder="1" applyAlignment="1"/>
    <xf numFmtId="0" fontId="9" fillId="0" borderId="0" xfId="0" applyFont="1" applyAlignment="1"/>
    <xf numFmtId="0" fontId="13" fillId="0" borderId="13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9" fillId="0" borderId="1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Fill="1" applyBorder="1"/>
    <xf numFmtId="0" fontId="29" fillId="0" borderId="2" xfId="0" applyFont="1" applyBorder="1" applyAlignment="1">
      <alignment horizontal="center" vertical="center"/>
    </xf>
    <xf numFmtId="0" fontId="0" fillId="0" borderId="3" xfId="0" applyFill="1" applyBorder="1" applyAlignment="1">
      <alignment vertical="center" wrapText="1"/>
    </xf>
    <xf numFmtId="0" fontId="0" fillId="3" borderId="3" xfId="0" applyFill="1" applyBorder="1"/>
    <xf numFmtId="0" fontId="0" fillId="0" borderId="3" xfId="0" applyBorder="1" applyAlignment="1">
      <alignment wrapText="1"/>
    </xf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0" fontId="0" fillId="2" borderId="2" xfId="0" applyFill="1" applyBorder="1" applyAlignment="1">
      <alignment horizontal="center" vertical="center"/>
    </xf>
    <xf numFmtId="0" fontId="29" fillId="2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vertical="center" wrapText="1"/>
    </xf>
    <xf numFmtId="0" fontId="20" fillId="0" borderId="5" xfId="0" applyFont="1" applyFill="1" applyBorder="1" applyAlignment="1">
      <alignment horizontal="center" vertical="center" wrapText="1"/>
    </xf>
    <xf numFmtId="0" fontId="15" fillId="0" borderId="3" xfId="0" applyFont="1" applyFill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 wrapText="1"/>
    </xf>
    <xf numFmtId="0" fontId="21" fillId="3" borderId="3" xfId="0" applyFont="1" applyFill="1" applyBorder="1" applyAlignment="1">
      <alignment horizontal="center" vertical="center" wrapText="1"/>
    </xf>
    <xf numFmtId="0" fontId="9" fillId="0" borderId="3" xfId="0" applyFont="1" applyBorder="1"/>
    <xf numFmtId="0" fontId="5" fillId="0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16" fillId="0" borderId="2" xfId="0" applyNumberFormat="1" applyFont="1" applyFill="1" applyBorder="1" applyAlignment="1">
      <alignment horizontal="left" vertical="center" wrapText="1" shrinkToFit="1"/>
    </xf>
    <xf numFmtId="0" fontId="0" fillId="0" borderId="2" xfId="0" applyFont="1" applyBorder="1" applyAlignment="1">
      <alignment horizontal="center" vertical="center"/>
    </xf>
    <xf numFmtId="0" fontId="0" fillId="0" borderId="2" xfId="0" applyFont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2" xfId="2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3" xfId="1" applyFont="1" applyFill="1" applyBorder="1" applyAlignment="1">
      <alignment horizontal="center" vertical="center"/>
    </xf>
    <xf numFmtId="0" fontId="2" fillId="0" borderId="5" xfId="1" applyFont="1" applyFill="1" applyBorder="1" applyAlignment="1">
      <alignment horizontal="center" vertical="center"/>
    </xf>
    <xf numFmtId="0" fontId="2" fillId="0" borderId="4" xfId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9" fillId="0" borderId="20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</cellXfs>
  <cellStyles count="4">
    <cellStyle name="Normal" xfId="0" builtinId="0"/>
    <cellStyle name="Normal 2" xfId="1"/>
    <cellStyle name="Normal 2 2" xfId="3"/>
    <cellStyle name="Normal 6" xfId="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6"/>
  <sheetViews>
    <sheetView tabSelected="1" topLeftCell="C25" zoomScaleNormal="100" workbookViewId="0">
      <selection activeCell="M10" sqref="M10:M26"/>
    </sheetView>
  </sheetViews>
  <sheetFormatPr defaultRowHeight="15"/>
  <cols>
    <col min="1" max="1" width="4.42578125" customWidth="1"/>
    <col min="2" max="2" width="22" customWidth="1"/>
    <col min="3" max="3" width="8.5703125" customWidth="1"/>
    <col min="6" max="6" width="41.42578125" customWidth="1"/>
    <col min="7" max="7" width="37.140625" style="23" customWidth="1"/>
    <col min="8" max="8" width="9.140625" style="73" customWidth="1"/>
    <col min="9" max="9" width="7" style="73" customWidth="1"/>
    <col min="10" max="10" width="6.85546875" style="4" customWidth="1"/>
    <col min="11" max="11" width="7.140625" style="4" customWidth="1"/>
    <col min="12" max="12" width="6.85546875" style="4" customWidth="1"/>
    <col min="13" max="13" width="7.85546875" style="4" customWidth="1"/>
    <col min="14" max="14" width="6.5703125" style="4" customWidth="1"/>
    <col min="15" max="15" width="20.85546875" style="4" customWidth="1"/>
  </cols>
  <sheetData>
    <row r="1" spans="1:15" ht="30" customHeight="1">
      <c r="A1" s="236" t="s">
        <v>34</v>
      </c>
      <c r="B1" s="236"/>
      <c r="C1" s="236"/>
      <c r="D1" s="236"/>
      <c r="E1" s="236"/>
      <c r="F1" s="236"/>
      <c r="G1" s="237"/>
      <c r="H1" s="99"/>
      <c r="I1" s="235" t="s">
        <v>615</v>
      </c>
      <c r="J1" s="235"/>
      <c r="K1" s="235"/>
      <c r="L1" s="235"/>
      <c r="M1" s="235"/>
      <c r="N1" s="235"/>
      <c r="O1" s="203" t="s">
        <v>693</v>
      </c>
    </row>
    <row r="2" spans="1:15" ht="21.75" customHeight="1">
      <c r="A2" s="5" t="s">
        <v>35</v>
      </c>
      <c r="B2" s="43" t="s">
        <v>36</v>
      </c>
      <c r="C2" s="44" t="s">
        <v>37</v>
      </c>
      <c r="D2" s="43" t="s">
        <v>38</v>
      </c>
      <c r="E2" s="43" t="s">
        <v>0</v>
      </c>
      <c r="F2" s="44" t="s">
        <v>39</v>
      </c>
      <c r="G2" s="94" t="s">
        <v>41</v>
      </c>
      <c r="H2" s="52" t="s">
        <v>694</v>
      </c>
      <c r="I2" s="52" t="s">
        <v>609</v>
      </c>
      <c r="J2" s="52" t="s">
        <v>610</v>
      </c>
      <c r="K2" s="52" t="s">
        <v>611</v>
      </c>
      <c r="L2" s="52" t="s">
        <v>612</v>
      </c>
      <c r="M2" s="52" t="s">
        <v>613</v>
      </c>
      <c r="N2" s="52" t="s">
        <v>614</v>
      </c>
      <c r="O2" s="210" t="s">
        <v>433</v>
      </c>
    </row>
    <row r="3" spans="1:15" ht="66" customHeight="1">
      <c r="A3" s="4">
        <v>1</v>
      </c>
      <c r="B3" s="7" t="s">
        <v>301</v>
      </c>
      <c r="C3" s="35">
        <v>1</v>
      </c>
      <c r="D3" s="41">
        <v>1</v>
      </c>
      <c r="E3" s="1" t="s">
        <v>1</v>
      </c>
      <c r="F3" s="11" t="s">
        <v>40</v>
      </c>
      <c r="G3" s="71" t="s">
        <v>83</v>
      </c>
      <c r="H3" s="99">
        <v>1</v>
      </c>
      <c r="I3" s="99">
        <v>1</v>
      </c>
      <c r="J3" s="201">
        <v>1</v>
      </c>
      <c r="K3" s="201">
        <v>1</v>
      </c>
      <c r="L3" s="201">
        <v>1</v>
      </c>
      <c r="M3" s="201"/>
      <c r="N3" s="201"/>
      <c r="O3" s="210">
        <f>SUM(D3-H3)</f>
        <v>0</v>
      </c>
    </row>
    <row r="4" spans="1:15" ht="45" customHeight="1">
      <c r="A4" s="234">
        <v>2</v>
      </c>
      <c r="B4" s="225" t="s">
        <v>302</v>
      </c>
      <c r="C4" s="225">
        <v>2</v>
      </c>
      <c r="D4" s="228">
        <v>1</v>
      </c>
      <c r="E4" s="2" t="s">
        <v>2</v>
      </c>
      <c r="F4" s="238" t="s">
        <v>42</v>
      </c>
      <c r="G4" s="71" t="s">
        <v>57</v>
      </c>
      <c r="H4" s="224">
        <v>2</v>
      </c>
      <c r="I4" s="224">
        <v>2</v>
      </c>
      <c r="J4" s="224">
        <v>2</v>
      </c>
      <c r="K4" s="224">
        <v>2</v>
      </c>
      <c r="L4" s="224">
        <v>2</v>
      </c>
      <c r="M4" s="224"/>
      <c r="N4" s="224"/>
      <c r="O4" s="210">
        <f t="shared" ref="O4:O35" si="0">SUM(D4-H4)</f>
        <v>-1</v>
      </c>
    </row>
    <row r="5" spans="1:15" ht="34.5" customHeight="1">
      <c r="A5" s="234"/>
      <c r="B5" s="227"/>
      <c r="C5" s="227"/>
      <c r="D5" s="229"/>
      <c r="E5" s="2" t="s">
        <v>3</v>
      </c>
      <c r="F5" s="239"/>
      <c r="G5" s="71" t="s">
        <v>58</v>
      </c>
      <c r="H5" s="224"/>
      <c r="I5" s="224"/>
      <c r="J5" s="224"/>
      <c r="K5" s="224"/>
      <c r="L5" s="224"/>
      <c r="M5" s="224"/>
      <c r="N5" s="224"/>
      <c r="O5" s="210">
        <f t="shared" si="0"/>
        <v>0</v>
      </c>
    </row>
    <row r="6" spans="1:15" ht="74.25" customHeight="1">
      <c r="A6" s="234">
        <v>3</v>
      </c>
      <c r="B6" s="225" t="s">
        <v>302</v>
      </c>
      <c r="C6" s="225">
        <v>4</v>
      </c>
      <c r="D6" s="228">
        <v>1</v>
      </c>
      <c r="E6" s="2" t="s">
        <v>4</v>
      </c>
      <c r="F6" s="11" t="s">
        <v>43</v>
      </c>
      <c r="G6" s="71" t="s">
        <v>51</v>
      </c>
      <c r="H6" s="224">
        <v>3</v>
      </c>
      <c r="I6" s="224">
        <v>3</v>
      </c>
      <c r="J6" s="224">
        <v>3</v>
      </c>
      <c r="K6" s="224">
        <v>3</v>
      </c>
      <c r="L6" s="224">
        <v>3</v>
      </c>
      <c r="M6" s="224"/>
      <c r="N6" s="224"/>
      <c r="O6" s="210">
        <f t="shared" si="0"/>
        <v>-2</v>
      </c>
    </row>
    <row r="7" spans="1:15" ht="35.25" customHeight="1">
      <c r="A7" s="234"/>
      <c r="B7" s="226"/>
      <c r="C7" s="226"/>
      <c r="D7" s="233"/>
      <c r="E7" s="2" t="s">
        <v>9</v>
      </c>
      <c r="F7" s="238" t="s">
        <v>44</v>
      </c>
      <c r="G7" s="71" t="s">
        <v>52</v>
      </c>
      <c r="H7" s="224"/>
      <c r="I7" s="224"/>
      <c r="J7" s="224"/>
      <c r="K7" s="224"/>
      <c r="L7" s="224"/>
      <c r="M7" s="224"/>
      <c r="N7" s="224"/>
      <c r="O7" s="210">
        <f t="shared" si="0"/>
        <v>0</v>
      </c>
    </row>
    <row r="8" spans="1:15" ht="27.75" customHeight="1">
      <c r="A8" s="234"/>
      <c r="B8" s="226"/>
      <c r="C8" s="226"/>
      <c r="D8" s="233"/>
      <c r="E8" s="2" t="s">
        <v>10</v>
      </c>
      <c r="F8" s="240"/>
      <c r="G8" s="71" t="s">
        <v>53</v>
      </c>
      <c r="H8" s="224"/>
      <c r="I8" s="224"/>
      <c r="J8" s="224"/>
      <c r="K8" s="224"/>
      <c r="L8" s="224"/>
      <c r="M8" s="224"/>
      <c r="N8" s="224"/>
      <c r="O8" s="210">
        <f t="shared" si="0"/>
        <v>0</v>
      </c>
    </row>
    <row r="9" spans="1:15" ht="30" customHeight="1">
      <c r="A9" s="234"/>
      <c r="B9" s="227"/>
      <c r="C9" s="227"/>
      <c r="D9" s="229"/>
      <c r="E9" s="2" t="s">
        <v>11</v>
      </c>
      <c r="F9" s="239"/>
      <c r="G9" s="71" t="s">
        <v>60</v>
      </c>
      <c r="H9" s="224"/>
      <c r="I9" s="224"/>
      <c r="J9" s="224"/>
      <c r="K9" s="224"/>
      <c r="L9" s="224"/>
      <c r="M9" s="224"/>
      <c r="N9" s="224"/>
      <c r="O9" s="210">
        <f t="shared" si="0"/>
        <v>0</v>
      </c>
    </row>
    <row r="10" spans="1:15">
      <c r="A10" s="234">
        <v>4</v>
      </c>
      <c r="B10" s="225" t="s">
        <v>302</v>
      </c>
      <c r="C10" s="225">
        <v>17</v>
      </c>
      <c r="D10" s="228">
        <v>5</v>
      </c>
      <c r="E10" s="2" t="s">
        <v>5</v>
      </c>
      <c r="F10" s="230" t="s">
        <v>45</v>
      </c>
      <c r="G10" s="71" t="s">
        <v>59</v>
      </c>
      <c r="H10" s="225">
        <v>6</v>
      </c>
      <c r="I10" s="225">
        <v>6</v>
      </c>
      <c r="J10" s="225">
        <v>6</v>
      </c>
      <c r="K10" s="225">
        <v>6</v>
      </c>
      <c r="L10" s="225">
        <v>6</v>
      </c>
      <c r="M10" s="225"/>
      <c r="N10" s="225"/>
      <c r="O10" s="210">
        <f t="shared" si="0"/>
        <v>-1</v>
      </c>
    </row>
    <row r="11" spans="1:15">
      <c r="A11" s="234"/>
      <c r="B11" s="226"/>
      <c r="C11" s="226"/>
      <c r="D11" s="233"/>
      <c r="E11" s="2" t="s">
        <v>12</v>
      </c>
      <c r="F11" s="232"/>
      <c r="G11" s="71" t="s">
        <v>61</v>
      </c>
      <c r="H11" s="226"/>
      <c r="I11" s="226"/>
      <c r="J11" s="226"/>
      <c r="K11" s="226"/>
      <c r="L11" s="226"/>
      <c r="M11" s="226"/>
      <c r="N11" s="226"/>
      <c r="O11" s="210">
        <f t="shared" si="0"/>
        <v>0</v>
      </c>
    </row>
    <row r="12" spans="1:15">
      <c r="A12" s="234"/>
      <c r="B12" s="226"/>
      <c r="C12" s="226"/>
      <c r="D12" s="233"/>
      <c r="E12" s="2" t="s">
        <v>13</v>
      </c>
      <c r="F12" s="232"/>
      <c r="G12" s="71" t="s">
        <v>64</v>
      </c>
      <c r="H12" s="226"/>
      <c r="I12" s="226"/>
      <c r="J12" s="226"/>
      <c r="K12" s="226"/>
      <c r="L12" s="226"/>
      <c r="M12" s="226"/>
      <c r="N12" s="226"/>
      <c r="O12" s="210">
        <f t="shared" si="0"/>
        <v>0</v>
      </c>
    </row>
    <row r="13" spans="1:15">
      <c r="A13" s="234"/>
      <c r="B13" s="226"/>
      <c r="C13" s="226"/>
      <c r="D13" s="233"/>
      <c r="E13" s="2" t="s">
        <v>14</v>
      </c>
      <c r="F13" s="232"/>
      <c r="G13" s="71" t="s">
        <v>62</v>
      </c>
      <c r="H13" s="226"/>
      <c r="I13" s="226"/>
      <c r="J13" s="226"/>
      <c r="K13" s="226"/>
      <c r="L13" s="226"/>
      <c r="M13" s="226"/>
      <c r="N13" s="226"/>
      <c r="O13" s="210">
        <f t="shared" si="0"/>
        <v>0</v>
      </c>
    </row>
    <row r="14" spans="1:15">
      <c r="A14" s="234"/>
      <c r="B14" s="226"/>
      <c r="C14" s="226"/>
      <c r="D14" s="233"/>
      <c r="E14" s="2" t="s">
        <v>15</v>
      </c>
      <c r="F14" s="232"/>
      <c r="G14" s="71" t="s">
        <v>63</v>
      </c>
      <c r="H14" s="226"/>
      <c r="I14" s="226"/>
      <c r="J14" s="226"/>
      <c r="K14" s="226"/>
      <c r="L14" s="226"/>
      <c r="M14" s="226"/>
      <c r="N14" s="226"/>
      <c r="O14" s="210">
        <f t="shared" si="0"/>
        <v>0</v>
      </c>
    </row>
    <row r="15" spans="1:15">
      <c r="A15" s="234"/>
      <c r="B15" s="226"/>
      <c r="C15" s="226"/>
      <c r="D15" s="233"/>
      <c r="E15" s="3" t="s">
        <v>16</v>
      </c>
      <c r="F15" s="232"/>
      <c r="G15" s="71" t="s">
        <v>65</v>
      </c>
      <c r="H15" s="226"/>
      <c r="I15" s="226"/>
      <c r="J15" s="226"/>
      <c r="K15" s="226"/>
      <c r="L15" s="226"/>
      <c r="M15" s="226"/>
      <c r="N15" s="226"/>
      <c r="O15" s="210">
        <f t="shared" si="0"/>
        <v>0</v>
      </c>
    </row>
    <row r="16" spans="1:15">
      <c r="A16" s="234"/>
      <c r="B16" s="226"/>
      <c r="C16" s="226"/>
      <c r="D16" s="233"/>
      <c r="E16" s="3" t="s">
        <v>19</v>
      </c>
      <c r="F16" s="232"/>
      <c r="G16" s="71" t="s">
        <v>68</v>
      </c>
      <c r="H16" s="226"/>
      <c r="I16" s="226"/>
      <c r="J16" s="226"/>
      <c r="K16" s="226"/>
      <c r="L16" s="226"/>
      <c r="M16" s="226"/>
      <c r="N16" s="226"/>
      <c r="O16" s="210">
        <f t="shared" si="0"/>
        <v>0</v>
      </c>
    </row>
    <row r="17" spans="1:15">
      <c r="A17" s="234"/>
      <c r="B17" s="226"/>
      <c r="C17" s="226"/>
      <c r="D17" s="233"/>
      <c r="E17" s="3" t="s">
        <v>20</v>
      </c>
      <c r="F17" s="232"/>
      <c r="G17" s="71" t="s">
        <v>69</v>
      </c>
      <c r="H17" s="226"/>
      <c r="I17" s="226"/>
      <c r="J17" s="226"/>
      <c r="K17" s="226"/>
      <c r="L17" s="226"/>
      <c r="M17" s="226"/>
      <c r="N17" s="226"/>
      <c r="O17" s="210">
        <f t="shared" si="0"/>
        <v>0</v>
      </c>
    </row>
    <row r="18" spans="1:15">
      <c r="A18" s="234"/>
      <c r="B18" s="226"/>
      <c r="C18" s="226"/>
      <c r="D18" s="233"/>
      <c r="E18" s="3" t="s">
        <v>21</v>
      </c>
      <c r="F18" s="232"/>
      <c r="G18" s="71" t="s">
        <v>70</v>
      </c>
      <c r="H18" s="226"/>
      <c r="I18" s="226"/>
      <c r="J18" s="226"/>
      <c r="K18" s="226"/>
      <c r="L18" s="226"/>
      <c r="M18" s="226"/>
      <c r="N18" s="226"/>
      <c r="O18" s="210">
        <f t="shared" si="0"/>
        <v>0</v>
      </c>
    </row>
    <row r="19" spans="1:15">
      <c r="A19" s="234"/>
      <c r="B19" s="226"/>
      <c r="C19" s="226"/>
      <c r="D19" s="233"/>
      <c r="E19" s="2" t="s">
        <v>24</v>
      </c>
      <c r="F19" s="232"/>
      <c r="G19" s="72" t="s">
        <v>73</v>
      </c>
      <c r="H19" s="226"/>
      <c r="I19" s="226"/>
      <c r="J19" s="226"/>
      <c r="K19" s="226"/>
      <c r="L19" s="226"/>
      <c r="M19" s="226"/>
      <c r="N19" s="226"/>
      <c r="O19" s="210">
        <f t="shared" si="0"/>
        <v>0</v>
      </c>
    </row>
    <row r="20" spans="1:15" ht="30">
      <c r="A20" s="234"/>
      <c r="B20" s="226"/>
      <c r="C20" s="226"/>
      <c r="D20" s="233"/>
      <c r="E20" s="2" t="s">
        <v>25</v>
      </c>
      <c r="F20" s="232"/>
      <c r="G20" s="72" t="s">
        <v>74</v>
      </c>
      <c r="H20" s="226"/>
      <c r="I20" s="226"/>
      <c r="J20" s="226"/>
      <c r="K20" s="226"/>
      <c r="L20" s="226"/>
      <c r="M20" s="226"/>
      <c r="N20" s="226"/>
      <c r="O20" s="210">
        <f t="shared" si="0"/>
        <v>0</v>
      </c>
    </row>
    <row r="21" spans="1:15">
      <c r="A21" s="234"/>
      <c r="B21" s="226"/>
      <c r="C21" s="226"/>
      <c r="D21" s="233"/>
      <c r="E21" s="2" t="s">
        <v>26</v>
      </c>
      <c r="F21" s="232"/>
      <c r="G21" s="72" t="s">
        <v>75</v>
      </c>
      <c r="H21" s="226"/>
      <c r="I21" s="226"/>
      <c r="J21" s="226"/>
      <c r="K21" s="226"/>
      <c r="L21" s="226"/>
      <c r="M21" s="226"/>
      <c r="N21" s="226"/>
      <c r="O21" s="210">
        <f t="shared" si="0"/>
        <v>0</v>
      </c>
    </row>
    <row r="22" spans="1:15" ht="30">
      <c r="A22" s="234"/>
      <c r="B22" s="226"/>
      <c r="C22" s="226"/>
      <c r="D22" s="233"/>
      <c r="E22" s="2" t="s">
        <v>27</v>
      </c>
      <c r="F22" s="232"/>
      <c r="G22" s="72" t="s">
        <v>76</v>
      </c>
      <c r="H22" s="226"/>
      <c r="I22" s="226"/>
      <c r="J22" s="226"/>
      <c r="K22" s="226"/>
      <c r="L22" s="226"/>
      <c r="M22" s="226"/>
      <c r="N22" s="226"/>
      <c r="O22" s="210">
        <f t="shared" si="0"/>
        <v>0</v>
      </c>
    </row>
    <row r="23" spans="1:15">
      <c r="A23" s="234"/>
      <c r="B23" s="226"/>
      <c r="C23" s="226"/>
      <c r="D23" s="233"/>
      <c r="E23" s="2" t="s">
        <v>28</v>
      </c>
      <c r="F23" s="232"/>
      <c r="G23" s="72" t="s">
        <v>77</v>
      </c>
      <c r="H23" s="226"/>
      <c r="I23" s="226"/>
      <c r="J23" s="226"/>
      <c r="K23" s="226"/>
      <c r="L23" s="226"/>
      <c r="M23" s="226"/>
      <c r="N23" s="226"/>
      <c r="O23" s="210">
        <f t="shared" si="0"/>
        <v>0</v>
      </c>
    </row>
    <row r="24" spans="1:15" ht="30">
      <c r="A24" s="234"/>
      <c r="B24" s="226"/>
      <c r="C24" s="226"/>
      <c r="D24" s="233"/>
      <c r="E24" s="2" t="s">
        <v>29</v>
      </c>
      <c r="F24" s="232"/>
      <c r="G24" s="72" t="s">
        <v>78</v>
      </c>
      <c r="H24" s="226"/>
      <c r="I24" s="226"/>
      <c r="J24" s="226"/>
      <c r="K24" s="226"/>
      <c r="L24" s="226"/>
      <c r="M24" s="226"/>
      <c r="N24" s="226"/>
      <c r="O24" s="210">
        <f t="shared" si="0"/>
        <v>0</v>
      </c>
    </row>
    <row r="25" spans="1:15">
      <c r="A25" s="234"/>
      <c r="B25" s="226"/>
      <c r="C25" s="226"/>
      <c r="D25" s="233"/>
      <c r="E25" s="2" t="s">
        <v>30</v>
      </c>
      <c r="F25" s="232"/>
      <c r="G25" s="72" t="s">
        <v>79</v>
      </c>
      <c r="H25" s="226"/>
      <c r="I25" s="226"/>
      <c r="J25" s="226"/>
      <c r="K25" s="226"/>
      <c r="L25" s="226"/>
      <c r="M25" s="226"/>
      <c r="N25" s="226"/>
      <c r="O25" s="210">
        <f t="shared" si="0"/>
        <v>0</v>
      </c>
    </row>
    <row r="26" spans="1:15" ht="30">
      <c r="A26" s="234"/>
      <c r="B26" s="227"/>
      <c r="C26" s="227"/>
      <c r="D26" s="229"/>
      <c r="E26" s="2" t="s">
        <v>31</v>
      </c>
      <c r="F26" s="231"/>
      <c r="G26" s="72" t="s">
        <v>80</v>
      </c>
      <c r="H26" s="226"/>
      <c r="I26" s="226"/>
      <c r="J26" s="226"/>
      <c r="K26" s="226"/>
      <c r="L26" s="226"/>
      <c r="M26" s="227"/>
      <c r="N26" s="227"/>
      <c r="O26" s="210">
        <f t="shared" si="0"/>
        <v>0</v>
      </c>
    </row>
    <row r="27" spans="1:15" ht="23.25" customHeight="1">
      <c r="A27" s="234">
        <v>5</v>
      </c>
      <c r="B27" s="225" t="s">
        <v>302</v>
      </c>
      <c r="C27" s="225">
        <v>1</v>
      </c>
      <c r="D27" s="228">
        <v>1</v>
      </c>
      <c r="E27" s="2" t="s">
        <v>6</v>
      </c>
      <c r="F27" s="230" t="s">
        <v>45</v>
      </c>
      <c r="G27" s="71" t="s">
        <v>54</v>
      </c>
      <c r="H27" s="226"/>
      <c r="I27" s="226"/>
      <c r="J27" s="226"/>
      <c r="K27" s="226"/>
      <c r="L27" s="226"/>
      <c r="M27" s="225"/>
      <c r="N27" s="225"/>
      <c r="O27" s="210">
        <f t="shared" si="0"/>
        <v>1</v>
      </c>
    </row>
    <row r="28" spans="1:15" ht="27" customHeight="1">
      <c r="A28" s="234"/>
      <c r="B28" s="226"/>
      <c r="C28" s="226"/>
      <c r="D28" s="233"/>
      <c r="E28" s="2" t="s">
        <v>7</v>
      </c>
      <c r="F28" s="232"/>
      <c r="G28" s="71" t="s">
        <v>55</v>
      </c>
      <c r="H28" s="226"/>
      <c r="I28" s="226"/>
      <c r="J28" s="226"/>
      <c r="K28" s="226"/>
      <c r="L28" s="226"/>
      <c r="M28" s="226"/>
      <c r="N28" s="226"/>
      <c r="O28" s="210">
        <f t="shared" si="0"/>
        <v>0</v>
      </c>
    </row>
    <row r="29" spans="1:15" ht="35.25" customHeight="1">
      <c r="A29" s="234"/>
      <c r="B29" s="227"/>
      <c r="C29" s="227"/>
      <c r="D29" s="229"/>
      <c r="E29" s="2" t="s">
        <v>8</v>
      </c>
      <c r="F29" s="231"/>
      <c r="G29" s="71" t="s">
        <v>56</v>
      </c>
      <c r="H29" s="227"/>
      <c r="I29" s="227"/>
      <c r="J29" s="227"/>
      <c r="K29" s="227"/>
      <c r="L29" s="227"/>
      <c r="M29" s="227"/>
      <c r="N29" s="227"/>
      <c r="O29" s="210">
        <f t="shared" si="0"/>
        <v>0</v>
      </c>
    </row>
    <row r="30" spans="1:15">
      <c r="A30" s="234">
        <v>6</v>
      </c>
      <c r="B30" s="225" t="s">
        <v>302</v>
      </c>
      <c r="C30" s="225">
        <v>2</v>
      </c>
      <c r="D30" s="228">
        <v>1</v>
      </c>
      <c r="E30" s="3" t="s">
        <v>17</v>
      </c>
      <c r="F30" s="230" t="s">
        <v>46</v>
      </c>
      <c r="G30" s="71" t="s">
        <v>66</v>
      </c>
      <c r="H30" s="224">
        <v>2</v>
      </c>
      <c r="I30" s="224">
        <v>2</v>
      </c>
      <c r="J30" s="224">
        <v>2</v>
      </c>
      <c r="K30" s="224">
        <v>2</v>
      </c>
      <c r="L30" s="224">
        <v>1</v>
      </c>
      <c r="M30" s="224"/>
      <c r="N30" s="224"/>
      <c r="O30" s="210">
        <f t="shared" si="0"/>
        <v>-1</v>
      </c>
    </row>
    <row r="31" spans="1:15" ht="63" customHeight="1">
      <c r="A31" s="234"/>
      <c r="B31" s="227"/>
      <c r="C31" s="227"/>
      <c r="D31" s="229"/>
      <c r="E31" s="3" t="s">
        <v>18</v>
      </c>
      <c r="F31" s="231"/>
      <c r="G31" s="71" t="s">
        <v>67</v>
      </c>
      <c r="H31" s="224"/>
      <c r="I31" s="224"/>
      <c r="J31" s="224"/>
      <c r="K31" s="224"/>
      <c r="L31" s="224"/>
      <c r="M31" s="224"/>
      <c r="N31" s="224"/>
      <c r="O31" s="210">
        <f t="shared" si="0"/>
        <v>0</v>
      </c>
    </row>
    <row r="32" spans="1:15">
      <c r="A32" s="234">
        <v>7</v>
      </c>
      <c r="B32" s="225" t="s">
        <v>302</v>
      </c>
      <c r="C32" s="225">
        <v>2</v>
      </c>
      <c r="D32" s="228">
        <v>1</v>
      </c>
      <c r="E32" s="2" t="s">
        <v>32</v>
      </c>
      <c r="F32" s="230" t="s">
        <v>47</v>
      </c>
      <c r="G32" s="71" t="s">
        <v>82</v>
      </c>
      <c r="H32" s="224">
        <v>2</v>
      </c>
      <c r="I32" s="224">
        <v>2</v>
      </c>
      <c r="J32" s="224">
        <v>2</v>
      </c>
      <c r="K32" s="224">
        <v>2</v>
      </c>
      <c r="L32" s="224">
        <v>2</v>
      </c>
      <c r="M32" s="224"/>
      <c r="N32" s="224"/>
      <c r="O32" s="210">
        <f t="shared" si="0"/>
        <v>-1</v>
      </c>
    </row>
    <row r="33" spans="1:15" ht="59.25" customHeight="1">
      <c r="A33" s="234"/>
      <c r="B33" s="227"/>
      <c r="C33" s="227"/>
      <c r="D33" s="229"/>
      <c r="E33" s="2" t="s">
        <v>33</v>
      </c>
      <c r="F33" s="231"/>
      <c r="G33" s="71" t="s">
        <v>81</v>
      </c>
      <c r="H33" s="224"/>
      <c r="I33" s="224"/>
      <c r="J33" s="224"/>
      <c r="K33" s="224"/>
      <c r="L33" s="224"/>
      <c r="M33" s="224"/>
      <c r="N33" s="224"/>
      <c r="O33" s="210">
        <f t="shared" si="0"/>
        <v>0</v>
      </c>
    </row>
    <row r="34" spans="1:15" ht="26.25" customHeight="1">
      <c r="A34" s="234">
        <v>8</v>
      </c>
      <c r="B34" s="225" t="s">
        <v>302</v>
      </c>
      <c r="C34" s="225">
        <v>2</v>
      </c>
      <c r="D34" s="228">
        <v>1</v>
      </c>
      <c r="E34" s="2" t="s">
        <v>22</v>
      </c>
      <c r="F34" s="230" t="s">
        <v>48</v>
      </c>
      <c r="G34" s="71" t="s">
        <v>71</v>
      </c>
      <c r="H34" s="224">
        <v>2</v>
      </c>
      <c r="I34" s="224">
        <v>2</v>
      </c>
      <c r="J34" s="224">
        <v>2</v>
      </c>
      <c r="K34" s="224">
        <v>2</v>
      </c>
      <c r="L34" s="224">
        <v>2</v>
      </c>
      <c r="M34" s="224"/>
      <c r="N34" s="224"/>
      <c r="O34" s="210">
        <f t="shared" si="0"/>
        <v>-1</v>
      </c>
    </row>
    <row r="35" spans="1:15" ht="66.75" customHeight="1">
      <c r="A35" s="234"/>
      <c r="B35" s="227"/>
      <c r="C35" s="227"/>
      <c r="D35" s="229"/>
      <c r="E35" s="2" t="s">
        <v>23</v>
      </c>
      <c r="F35" s="231"/>
      <c r="G35" s="71" t="s">
        <v>72</v>
      </c>
      <c r="H35" s="224"/>
      <c r="I35" s="224"/>
      <c r="J35" s="224"/>
      <c r="K35" s="224"/>
      <c r="L35" s="224"/>
      <c r="M35" s="224"/>
      <c r="N35" s="224"/>
      <c r="O35" s="210">
        <f t="shared" si="0"/>
        <v>0</v>
      </c>
    </row>
    <row r="36" spans="1:15">
      <c r="C36" s="102">
        <f>SUM(C3:C35)</f>
        <v>31</v>
      </c>
      <c r="D36" s="8"/>
      <c r="E36" s="8"/>
      <c r="F36" s="8"/>
      <c r="G36" s="202"/>
      <c r="H36" s="99"/>
      <c r="I36" s="99"/>
      <c r="J36" s="201"/>
      <c r="K36" s="201"/>
      <c r="L36" s="201"/>
      <c r="M36" s="201"/>
      <c r="N36" s="201"/>
      <c r="O36" s="210">
        <f>SUM(O4:O35)</f>
        <v>-6</v>
      </c>
    </row>
  </sheetData>
  <mergeCells count="81">
    <mergeCell ref="H10:H29"/>
    <mergeCell ref="I10:I29"/>
    <mergeCell ref="J10:J29"/>
    <mergeCell ref="K10:K29"/>
    <mergeCell ref="L10:L29"/>
    <mergeCell ref="D32:D33"/>
    <mergeCell ref="B30:B31"/>
    <mergeCell ref="F30:F31"/>
    <mergeCell ref="B27:B29"/>
    <mergeCell ref="I1:N1"/>
    <mergeCell ref="A1:G1"/>
    <mergeCell ref="C4:C5"/>
    <mergeCell ref="D4:D5"/>
    <mergeCell ref="F4:F5"/>
    <mergeCell ref="F7:F9"/>
    <mergeCell ref="C6:C9"/>
    <mergeCell ref="D6:D9"/>
    <mergeCell ref="B4:B5"/>
    <mergeCell ref="B6:B9"/>
    <mergeCell ref="A4:A5"/>
    <mergeCell ref="A6:A9"/>
    <mergeCell ref="A10:A26"/>
    <mergeCell ref="A27:A29"/>
    <mergeCell ref="A30:A31"/>
    <mergeCell ref="A32:A33"/>
    <mergeCell ref="A34:A35"/>
    <mergeCell ref="C34:C35"/>
    <mergeCell ref="D34:D35"/>
    <mergeCell ref="B34:B35"/>
    <mergeCell ref="F34:F35"/>
    <mergeCell ref="F10:F26"/>
    <mergeCell ref="C10:C26"/>
    <mergeCell ref="D10:D26"/>
    <mergeCell ref="F27:F29"/>
    <mergeCell ref="C30:C31"/>
    <mergeCell ref="D30:D31"/>
    <mergeCell ref="C27:C29"/>
    <mergeCell ref="D27:D29"/>
    <mergeCell ref="B10:B26"/>
    <mergeCell ref="F32:F33"/>
    <mergeCell ref="B32:B33"/>
    <mergeCell ref="C32:C33"/>
    <mergeCell ref="N6:N9"/>
    <mergeCell ref="N27:N29"/>
    <mergeCell ref="N4:N5"/>
    <mergeCell ref="H6:H9"/>
    <mergeCell ref="H34:H35"/>
    <mergeCell ref="H4:H5"/>
    <mergeCell ref="H32:H33"/>
    <mergeCell ref="H30:H31"/>
    <mergeCell ref="M10:M26"/>
    <mergeCell ref="N10:N26"/>
    <mergeCell ref="M27:M29"/>
    <mergeCell ref="N30:N31"/>
    <mergeCell ref="I4:I5"/>
    <mergeCell ref="J4:J5"/>
    <mergeCell ref="K4:K5"/>
    <mergeCell ref="L4:L5"/>
    <mergeCell ref="M4:M5"/>
    <mergeCell ref="I6:I9"/>
    <mergeCell ref="J6:J9"/>
    <mergeCell ref="K6:K9"/>
    <mergeCell ref="I30:I31"/>
    <mergeCell ref="J30:J31"/>
    <mergeCell ref="K30:K31"/>
    <mergeCell ref="L30:L31"/>
    <mergeCell ref="M30:M31"/>
    <mergeCell ref="L6:L9"/>
    <mergeCell ref="M6:M9"/>
    <mergeCell ref="N32:N33"/>
    <mergeCell ref="I34:I35"/>
    <mergeCell ref="J34:J35"/>
    <mergeCell ref="K34:K35"/>
    <mergeCell ref="L34:L35"/>
    <mergeCell ref="M34:M35"/>
    <mergeCell ref="N34:N35"/>
    <mergeCell ref="I32:I33"/>
    <mergeCell ref="J32:J33"/>
    <mergeCell ref="K32:K33"/>
    <mergeCell ref="L32:L33"/>
    <mergeCell ref="M32:M33"/>
  </mergeCells>
  <pageMargins left="0.7" right="0.7" top="0.75" bottom="0.75" header="0.3" footer="0.3"/>
  <pageSetup paperSize="9" scale="6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10"/>
  <sheetViews>
    <sheetView workbookViewId="0">
      <selection activeCell="P1" sqref="P1"/>
    </sheetView>
  </sheetViews>
  <sheetFormatPr defaultRowHeight="15"/>
  <cols>
    <col min="1" max="1" width="6.140625" customWidth="1"/>
    <col min="2" max="2" width="18.7109375" customWidth="1"/>
    <col min="3" max="3" width="9.140625" style="20"/>
    <col min="6" max="6" width="41.5703125" customWidth="1"/>
    <col min="7" max="7" width="17.140625" customWidth="1"/>
    <col min="8" max="8" width="9.140625" hidden="1" customWidth="1"/>
    <col min="10" max="10" width="7.140625" customWidth="1"/>
    <col min="11" max="13" width="6.42578125" customWidth="1"/>
    <col min="14" max="14" width="6.140625" customWidth="1"/>
    <col min="15" max="15" width="7" customWidth="1"/>
    <col min="16" max="16" width="17.7109375" customWidth="1"/>
  </cols>
  <sheetData>
    <row r="1" spans="1:16">
      <c r="A1" s="45" t="s">
        <v>35</v>
      </c>
      <c r="B1" s="46" t="s">
        <v>36</v>
      </c>
      <c r="C1" s="47" t="s">
        <v>37</v>
      </c>
      <c r="D1" s="46" t="s">
        <v>38</v>
      </c>
      <c r="E1" s="46" t="s">
        <v>0</v>
      </c>
      <c r="F1" s="47" t="s">
        <v>39</v>
      </c>
      <c r="G1" s="48" t="s">
        <v>41</v>
      </c>
      <c r="I1" s="52" t="s">
        <v>419</v>
      </c>
      <c r="J1" s="49" t="s">
        <v>609</v>
      </c>
      <c r="K1" s="49" t="s">
        <v>610</v>
      </c>
      <c r="L1" s="49" t="s">
        <v>611</v>
      </c>
      <c r="M1" s="49" t="s">
        <v>612</v>
      </c>
      <c r="N1" s="49" t="s">
        <v>613</v>
      </c>
      <c r="O1" s="49" t="s">
        <v>614</v>
      </c>
      <c r="P1" s="203" t="s">
        <v>693</v>
      </c>
    </row>
    <row r="2" spans="1:16" ht="18.75" customHeight="1">
      <c r="A2" s="7">
        <v>1</v>
      </c>
      <c r="B2" s="230" t="s">
        <v>305</v>
      </c>
      <c r="C2" s="225">
        <v>3</v>
      </c>
      <c r="D2" s="228">
        <v>1</v>
      </c>
      <c r="E2" s="1" t="s">
        <v>49</v>
      </c>
      <c r="F2" s="230" t="s">
        <v>299</v>
      </c>
      <c r="G2" s="13" t="s">
        <v>231</v>
      </c>
      <c r="I2" s="224">
        <v>1</v>
      </c>
      <c r="J2" s="224">
        <v>1</v>
      </c>
      <c r="K2" s="8"/>
      <c r="L2" s="8"/>
      <c r="M2" s="8"/>
      <c r="N2" s="8"/>
      <c r="O2" s="8"/>
      <c r="P2" s="208">
        <f t="shared" ref="P2:P4" si="0">SUM(D2-I2)</f>
        <v>0</v>
      </c>
    </row>
    <row r="3" spans="1:16" ht="45" customHeight="1">
      <c r="A3" s="10">
        <v>2</v>
      </c>
      <c r="B3" s="232"/>
      <c r="C3" s="226"/>
      <c r="D3" s="233"/>
      <c r="E3" s="1" t="s">
        <v>84</v>
      </c>
      <c r="F3" s="232"/>
      <c r="G3" s="56" t="s">
        <v>230</v>
      </c>
      <c r="I3" s="224"/>
      <c r="J3" s="224"/>
      <c r="K3" s="8"/>
      <c r="L3" s="8"/>
      <c r="M3" s="8"/>
      <c r="N3" s="8"/>
      <c r="O3" s="8"/>
      <c r="P3" s="208">
        <f t="shared" si="0"/>
        <v>0</v>
      </c>
    </row>
    <row r="4" spans="1:16" ht="38.25" customHeight="1">
      <c r="A4" s="10">
        <v>3</v>
      </c>
      <c r="B4" s="231"/>
      <c r="C4" s="227"/>
      <c r="D4" s="229"/>
      <c r="E4" s="1" t="s">
        <v>85</v>
      </c>
      <c r="F4" s="231"/>
      <c r="G4" s="25" t="s">
        <v>298</v>
      </c>
      <c r="I4" s="224"/>
      <c r="J4" s="224"/>
      <c r="K4" s="8"/>
      <c r="L4" s="8"/>
      <c r="M4" s="8"/>
      <c r="N4" s="8"/>
      <c r="O4" s="8"/>
      <c r="P4" s="208">
        <f t="shared" si="0"/>
        <v>0</v>
      </c>
    </row>
    <row r="5" spans="1:16" ht="49.5" customHeight="1">
      <c r="A5" s="224">
        <v>4</v>
      </c>
      <c r="B5" s="230" t="s">
        <v>306</v>
      </c>
      <c r="C5" s="225">
        <v>3</v>
      </c>
      <c r="D5" s="228">
        <v>1</v>
      </c>
      <c r="E5" s="17" t="s">
        <v>86</v>
      </c>
      <c r="F5" s="241" t="s">
        <v>297</v>
      </c>
      <c r="G5" s="56" t="s">
        <v>232</v>
      </c>
      <c r="I5" s="224">
        <v>0</v>
      </c>
      <c r="J5" s="224">
        <v>0</v>
      </c>
      <c r="K5" s="244"/>
      <c r="L5" s="244"/>
      <c r="M5" s="244"/>
      <c r="N5" s="244"/>
      <c r="O5" s="244"/>
      <c r="P5" s="208">
        <f>SUM(D5-I5)</f>
        <v>1</v>
      </c>
    </row>
    <row r="6" spans="1:16" ht="27" customHeight="1">
      <c r="A6" s="224"/>
      <c r="B6" s="232"/>
      <c r="C6" s="226"/>
      <c r="D6" s="233"/>
      <c r="E6" s="17" t="s">
        <v>87</v>
      </c>
      <c r="F6" s="242"/>
      <c r="G6" s="56" t="s">
        <v>233</v>
      </c>
      <c r="I6" s="224"/>
      <c r="J6" s="224"/>
      <c r="K6" s="245"/>
      <c r="L6" s="245"/>
      <c r="M6" s="245"/>
      <c r="N6" s="245"/>
      <c r="O6" s="245"/>
      <c r="P6" s="208">
        <f t="shared" ref="P6:P9" si="1">SUM(D6-I6)</f>
        <v>0</v>
      </c>
    </row>
    <row r="7" spans="1:16" ht="12" customHeight="1">
      <c r="A7" s="224"/>
      <c r="B7" s="231"/>
      <c r="C7" s="226"/>
      <c r="D7" s="233"/>
      <c r="E7" s="17" t="s">
        <v>88</v>
      </c>
      <c r="F7" s="243"/>
      <c r="G7" s="57" t="s">
        <v>234</v>
      </c>
      <c r="I7" s="224"/>
      <c r="J7" s="224"/>
      <c r="K7" s="246"/>
      <c r="L7" s="246"/>
      <c r="M7" s="246"/>
      <c r="N7" s="246"/>
      <c r="O7" s="246"/>
      <c r="P7" s="208">
        <f t="shared" si="1"/>
        <v>0</v>
      </c>
    </row>
    <row r="8" spans="1:16" ht="49.5" customHeight="1">
      <c r="A8" s="6">
        <v>5</v>
      </c>
      <c r="B8" s="6" t="s">
        <v>304</v>
      </c>
      <c r="C8" s="35">
        <v>1</v>
      </c>
      <c r="D8" s="42">
        <v>1</v>
      </c>
      <c r="E8" s="18" t="s">
        <v>50</v>
      </c>
      <c r="F8" s="19" t="s">
        <v>296</v>
      </c>
      <c r="G8" s="10" t="s">
        <v>235</v>
      </c>
      <c r="I8" s="70">
        <v>1</v>
      </c>
      <c r="J8" s="99">
        <v>1</v>
      </c>
      <c r="K8" s="8"/>
      <c r="L8" s="8"/>
      <c r="M8" s="8"/>
      <c r="N8" s="8"/>
      <c r="O8" s="8"/>
      <c r="P8" s="208">
        <f t="shared" si="1"/>
        <v>0</v>
      </c>
    </row>
    <row r="9" spans="1:16" ht="30">
      <c r="A9" s="66">
        <v>6</v>
      </c>
      <c r="B9" s="204" t="s">
        <v>303</v>
      </c>
      <c r="C9" s="98">
        <v>1</v>
      </c>
      <c r="D9" s="205">
        <v>1</v>
      </c>
      <c r="E9" s="204" t="s">
        <v>89</v>
      </c>
      <c r="F9" s="206" t="s">
        <v>295</v>
      </c>
      <c r="G9" s="97" t="s">
        <v>90</v>
      </c>
      <c r="I9" s="97">
        <v>1</v>
      </c>
      <c r="J9" s="97">
        <v>1</v>
      </c>
      <c r="K9" s="207"/>
      <c r="L9" s="207"/>
      <c r="M9" s="207"/>
      <c r="N9" s="207"/>
      <c r="O9" s="207"/>
      <c r="P9" s="209">
        <f t="shared" si="1"/>
        <v>0</v>
      </c>
    </row>
    <row r="10" spans="1:16">
      <c r="A10" s="8"/>
      <c r="B10" s="8"/>
      <c r="C10" s="102">
        <f>SUM(C2:C9)</f>
        <v>8</v>
      </c>
      <c r="D10" s="8"/>
      <c r="E10" s="8"/>
      <c r="F10" s="8"/>
      <c r="G10" s="8"/>
      <c r="H10" s="8"/>
      <c r="I10" s="8">
        <v>0</v>
      </c>
      <c r="J10" s="8"/>
      <c r="K10" s="8"/>
      <c r="L10" s="8"/>
      <c r="M10" s="8"/>
      <c r="N10" s="8"/>
      <c r="O10" s="8"/>
      <c r="P10" s="208">
        <f>P12+SUM(P2:P9)</f>
        <v>1</v>
      </c>
    </row>
  </sheetData>
  <mergeCells count="18">
    <mergeCell ref="N5:N7"/>
    <mergeCell ref="J2:J4"/>
    <mergeCell ref="O5:O7"/>
    <mergeCell ref="I2:I4"/>
    <mergeCell ref="I5:I7"/>
    <mergeCell ref="J5:J7"/>
    <mergeCell ref="K5:K7"/>
    <mergeCell ref="L5:L7"/>
    <mergeCell ref="M5:M7"/>
    <mergeCell ref="A5:A7"/>
    <mergeCell ref="B5:B7"/>
    <mergeCell ref="F5:F7"/>
    <mergeCell ref="B2:B4"/>
    <mergeCell ref="F2:F4"/>
    <mergeCell ref="C2:C4"/>
    <mergeCell ref="D2:D4"/>
    <mergeCell ref="C5:C7"/>
    <mergeCell ref="D5:D7"/>
  </mergeCells>
  <pageMargins left="0.7" right="0.7" top="0.75" bottom="0.75" header="0.3" footer="0.3"/>
  <pageSetup scale="7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8"/>
  <sheetViews>
    <sheetView topLeftCell="G1" workbookViewId="0">
      <pane ySplit="1" topLeftCell="A13" activePane="bottomLeft" state="frozen"/>
      <selection pane="bottomLeft" activeCell="P1" sqref="P1"/>
    </sheetView>
  </sheetViews>
  <sheetFormatPr defaultRowHeight="15"/>
  <cols>
    <col min="1" max="1" width="5.7109375" customWidth="1"/>
    <col min="2" max="2" width="28.7109375" customWidth="1"/>
    <col min="3" max="3" width="12.85546875" style="20" customWidth="1"/>
    <col min="4" max="4" width="6" style="20" customWidth="1"/>
    <col min="5" max="5" width="9.140625" style="20" customWidth="1"/>
    <col min="6" max="6" width="9.140625" style="4"/>
    <col min="7" max="7" width="61.42578125" customWidth="1"/>
    <col min="8" max="8" width="40.28515625" style="23" customWidth="1"/>
    <col min="9" max="9" width="14.28515625" style="23" customWidth="1"/>
    <col min="10" max="10" width="6.140625" style="23" customWidth="1"/>
    <col min="11" max="12" width="5.7109375" customWidth="1"/>
    <col min="13" max="13" width="6.5703125" customWidth="1"/>
    <col min="14" max="14" width="6.7109375" customWidth="1"/>
    <col min="15" max="15" width="6.42578125" customWidth="1"/>
    <col min="16" max="16" width="17.85546875" customWidth="1"/>
  </cols>
  <sheetData>
    <row r="1" spans="1:16">
      <c r="A1" s="5" t="s">
        <v>35</v>
      </c>
      <c r="B1" s="47" t="s">
        <v>137</v>
      </c>
      <c r="C1" s="47" t="s">
        <v>37</v>
      </c>
      <c r="D1" s="47" t="s">
        <v>35</v>
      </c>
      <c r="E1" s="47" t="s">
        <v>38</v>
      </c>
      <c r="F1" s="47" t="s">
        <v>0</v>
      </c>
      <c r="G1" s="47" t="s">
        <v>39</v>
      </c>
      <c r="H1" s="49" t="s">
        <v>41</v>
      </c>
      <c r="I1" s="44" t="s">
        <v>419</v>
      </c>
      <c r="J1" s="52" t="s">
        <v>609</v>
      </c>
      <c r="K1" s="52" t="s">
        <v>610</v>
      </c>
      <c r="L1" s="52" t="s">
        <v>611</v>
      </c>
      <c r="M1" s="52" t="s">
        <v>612</v>
      </c>
      <c r="N1" s="52" t="s">
        <v>613</v>
      </c>
      <c r="O1" s="52" t="s">
        <v>614</v>
      </c>
      <c r="P1" s="203" t="s">
        <v>693</v>
      </c>
    </row>
    <row r="2" spans="1:16" ht="60">
      <c r="A2" s="10">
        <v>1</v>
      </c>
      <c r="B2" s="9" t="s">
        <v>307</v>
      </c>
      <c r="C2" s="10">
        <v>1</v>
      </c>
      <c r="D2" s="92">
        <v>1</v>
      </c>
      <c r="E2" s="41">
        <v>1</v>
      </c>
      <c r="F2" s="1" t="s">
        <v>99</v>
      </c>
      <c r="G2" s="9" t="s">
        <v>140</v>
      </c>
      <c r="H2" s="13" t="s">
        <v>200</v>
      </c>
      <c r="I2" s="13">
        <v>1</v>
      </c>
      <c r="J2" s="77">
        <v>1</v>
      </c>
      <c r="K2" s="8"/>
      <c r="L2" s="8"/>
      <c r="M2" s="8"/>
      <c r="N2" s="8"/>
      <c r="O2" s="8"/>
      <c r="P2" s="208"/>
    </row>
    <row r="3" spans="1:16" ht="60">
      <c r="A3" s="10">
        <v>2</v>
      </c>
      <c r="B3" s="9" t="s">
        <v>308</v>
      </c>
      <c r="C3" s="10">
        <v>1</v>
      </c>
      <c r="D3" s="92">
        <v>2</v>
      </c>
      <c r="E3" s="41">
        <v>1</v>
      </c>
      <c r="F3" s="1" t="s">
        <v>100</v>
      </c>
      <c r="G3" s="9" t="s">
        <v>141</v>
      </c>
      <c r="H3" s="13" t="s">
        <v>202</v>
      </c>
      <c r="I3" s="14">
        <v>0</v>
      </c>
      <c r="J3" s="77">
        <v>0</v>
      </c>
      <c r="K3" s="8"/>
      <c r="L3" s="8"/>
      <c r="M3" s="8"/>
      <c r="N3" s="8"/>
      <c r="O3" s="8"/>
      <c r="P3" s="208">
        <f>SUM(E3-I3)</f>
        <v>1</v>
      </c>
    </row>
    <row r="4" spans="1:16" ht="60">
      <c r="A4" s="10">
        <v>3</v>
      </c>
      <c r="B4" s="9" t="s">
        <v>309</v>
      </c>
      <c r="C4" s="10">
        <v>1</v>
      </c>
      <c r="D4" s="92">
        <v>3</v>
      </c>
      <c r="E4" s="41">
        <v>1</v>
      </c>
      <c r="F4" s="1" t="s">
        <v>92</v>
      </c>
      <c r="G4" s="9" t="s">
        <v>142</v>
      </c>
      <c r="H4" s="13" t="s">
        <v>201</v>
      </c>
      <c r="I4" s="13">
        <v>0</v>
      </c>
      <c r="J4" s="77">
        <v>0</v>
      </c>
      <c r="K4" s="8"/>
      <c r="L4" s="8"/>
      <c r="M4" s="8"/>
      <c r="N4" s="8"/>
      <c r="O4" s="8"/>
      <c r="P4" s="208">
        <f t="shared" ref="P4:P47" si="0">SUM(E4-I4)</f>
        <v>1</v>
      </c>
    </row>
    <row r="5" spans="1:16" ht="60">
      <c r="A5" s="10">
        <v>4</v>
      </c>
      <c r="B5" s="9" t="s">
        <v>310</v>
      </c>
      <c r="C5" s="10">
        <v>1</v>
      </c>
      <c r="D5" s="92">
        <v>4</v>
      </c>
      <c r="E5" s="41">
        <v>1</v>
      </c>
      <c r="F5" s="1" t="s">
        <v>101</v>
      </c>
      <c r="G5" s="9" t="s">
        <v>143</v>
      </c>
      <c r="H5" s="13" t="s">
        <v>198</v>
      </c>
      <c r="I5" s="74">
        <v>0</v>
      </c>
      <c r="J5" s="77">
        <v>0</v>
      </c>
      <c r="K5" s="8"/>
      <c r="L5" s="8"/>
      <c r="M5" s="8"/>
      <c r="N5" s="8"/>
      <c r="O5" s="8"/>
      <c r="P5" s="208">
        <f t="shared" si="0"/>
        <v>1</v>
      </c>
    </row>
    <row r="6" spans="1:16" ht="60">
      <c r="A6" s="10">
        <v>5</v>
      </c>
      <c r="B6" s="9" t="s">
        <v>311</v>
      </c>
      <c r="C6" s="10">
        <v>1</v>
      </c>
      <c r="D6" s="92">
        <v>5</v>
      </c>
      <c r="E6" s="41">
        <v>1</v>
      </c>
      <c r="F6" s="1" t="s">
        <v>102</v>
      </c>
      <c r="G6" s="9" t="s">
        <v>144</v>
      </c>
      <c r="H6" s="13" t="s">
        <v>203</v>
      </c>
      <c r="I6" s="13">
        <v>0</v>
      </c>
      <c r="J6" s="77">
        <v>0</v>
      </c>
      <c r="K6" s="8"/>
      <c r="L6" s="8"/>
      <c r="M6" s="8"/>
      <c r="N6" s="8"/>
      <c r="O6" s="8"/>
      <c r="P6" s="208">
        <f t="shared" si="0"/>
        <v>1</v>
      </c>
    </row>
    <row r="7" spans="1:16" ht="15" hidden="1" customHeight="1">
      <c r="A7" s="10">
        <v>6</v>
      </c>
      <c r="B7" s="9" t="s">
        <v>91</v>
      </c>
      <c r="C7" s="10"/>
      <c r="D7" s="92">
        <v>6</v>
      </c>
      <c r="E7" s="41"/>
      <c r="F7" s="1" t="s">
        <v>103</v>
      </c>
      <c r="G7" s="9" t="s">
        <v>136</v>
      </c>
      <c r="H7" s="24"/>
      <c r="I7" s="13"/>
      <c r="J7" s="77"/>
      <c r="K7" s="8"/>
      <c r="L7" s="8"/>
      <c r="M7" s="8"/>
      <c r="N7" s="8"/>
      <c r="O7" s="8"/>
      <c r="P7" s="208">
        <f t="shared" si="0"/>
        <v>0</v>
      </c>
    </row>
    <row r="8" spans="1:16" ht="15" hidden="1" customHeight="1">
      <c r="A8" s="10">
        <v>7</v>
      </c>
      <c r="B8" s="9" t="s">
        <v>91</v>
      </c>
      <c r="C8" s="10"/>
      <c r="D8" s="92">
        <v>7</v>
      </c>
      <c r="E8" s="41"/>
      <c r="F8" s="1" t="s">
        <v>104</v>
      </c>
      <c r="G8" s="9" t="s">
        <v>136</v>
      </c>
      <c r="H8" s="24"/>
      <c r="I8" s="13"/>
      <c r="J8" s="77"/>
      <c r="K8" s="8"/>
      <c r="L8" s="8"/>
      <c r="M8" s="8"/>
      <c r="N8" s="8"/>
      <c r="O8" s="8"/>
      <c r="P8" s="208">
        <f t="shared" si="0"/>
        <v>0</v>
      </c>
    </row>
    <row r="9" spans="1:16" ht="34.5" customHeight="1">
      <c r="A9" s="225">
        <v>6</v>
      </c>
      <c r="B9" s="248" t="s">
        <v>312</v>
      </c>
      <c r="C9" s="225">
        <v>2</v>
      </c>
      <c r="D9" s="92">
        <v>8</v>
      </c>
      <c r="E9" s="228">
        <v>1</v>
      </c>
      <c r="F9" s="1" t="s">
        <v>105</v>
      </c>
      <c r="G9" s="230" t="s">
        <v>145</v>
      </c>
      <c r="H9" s="13" t="s">
        <v>199</v>
      </c>
      <c r="I9" s="13">
        <v>0</v>
      </c>
      <c r="J9" s="77">
        <v>0</v>
      </c>
      <c r="K9" s="8"/>
      <c r="L9" s="8"/>
      <c r="M9" s="8"/>
      <c r="N9" s="8"/>
      <c r="O9" s="8"/>
      <c r="P9" s="208">
        <f t="shared" si="0"/>
        <v>1</v>
      </c>
    </row>
    <row r="10" spans="1:16" ht="45.75" customHeight="1">
      <c r="A10" s="227"/>
      <c r="B10" s="248"/>
      <c r="C10" s="227"/>
      <c r="D10" s="92">
        <v>9</v>
      </c>
      <c r="E10" s="229"/>
      <c r="F10" s="1" t="s">
        <v>93</v>
      </c>
      <c r="G10" s="232"/>
      <c r="H10" s="13" t="s">
        <v>205</v>
      </c>
      <c r="I10" s="13">
        <v>0</v>
      </c>
      <c r="J10" s="77">
        <v>0</v>
      </c>
      <c r="K10" s="8"/>
      <c r="L10" s="8"/>
      <c r="M10" s="8"/>
      <c r="N10" s="8"/>
      <c r="O10" s="8"/>
      <c r="P10" s="208">
        <f t="shared" si="0"/>
        <v>0</v>
      </c>
    </row>
    <row r="11" spans="1:16" ht="60">
      <c r="A11" s="10">
        <v>7</v>
      </c>
      <c r="B11" s="16" t="s">
        <v>313</v>
      </c>
      <c r="C11" s="10">
        <v>1</v>
      </c>
      <c r="D11" s="92">
        <v>10</v>
      </c>
      <c r="E11" s="41">
        <v>1</v>
      </c>
      <c r="F11" s="1" t="s">
        <v>106</v>
      </c>
      <c r="G11" s="9" t="s">
        <v>146</v>
      </c>
      <c r="H11" s="13" t="s">
        <v>206</v>
      </c>
      <c r="I11" s="13">
        <v>0</v>
      </c>
      <c r="J11" s="77">
        <v>0</v>
      </c>
      <c r="K11" s="8"/>
      <c r="L11" s="8"/>
      <c r="M11" s="8"/>
      <c r="N11" s="8"/>
      <c r="O11" s="8"/>
      <c r="P11" s="208">
        <f t="shared" si="0"/>
        <v>1</v>
      </c>
    </row>
    <row r="12" spans="1:16" ht="60">
      <c r="A12" s="10">
        <v>8</v>
      </c>
      <c r="B12" s="16" t="s">
        <v>314</v>
      </c>
      <c r="C12" s="10">
        <v>1</v>
      </c>
      <c r="D12" s="92">
        <v>11</v>
      </c>
      <c r="E12" s="41">
        <v>1</v>
      </c>
      <c r="F12" s="1" t="s">
        <v>94</v>
      </c>
      <c r="G12" s="19" t="s">
        <v>147</v>
      </c>
      <c r="H12" s="13" t="s">
        <v>207</v>
      </c>
      <c r="I12" s="13">
        <v>0</v>
      </c>
      <c r="J12" s="56">
        <v>0</v>
      </c>
      <c r="K12" s="8"/>
      <c r="L12" s="8"/>
      <c r="M12" s="8"/>
      <c r="N12" s="8"/>
      <c r="O12" s="8"/>
      <c r="P12" s="208">
        <f t="shared" si="0"/>
        <v>1</v>
      </c>
    </row>
    <row r="13" spans="1:16" ht="12.75" customHeight="1">
      <c r="A13" s="224">
        <v>9</v>
      </c>
      <c r="B13" s="230" t="s">
        <v>315</v>
      </c>
      <c r="C13" s="225">
        <v>15</v>
      </c>
      <c r="D13" s="92">
        <v>12</v>
      </c>
      <c r="E13" s="228">
        <v>3</v>
      </c>
      <c r="F13" s="21" t="s">
        <v>107</v>
      </c>
      <c r="G13" s="230" t="s">
        <v>139</v>
      </c>
      <c r="H13" s="13" t="s">
        <v>208</v>
      </c>
      <c r="I13" s="247">
        <v>1</v>
      </c>
      <c r="J13" s="247">
        <v>1</v>
      </c>
      <c r="K13" s="247"/>
      <c r="L13" s="247"/>
      <c r="M13" s="247"/>
      <c r="N13" s="247"/>
      <c r="O13" s="247"/>
      <c r="P13" s="208">
        <f t="shared" si="0"/>
        <v>2</v>
      </c>
    </row>
    <row r="14" spans="1:16" ht="15" hidden="1" customHeight="1">
      <c r="A14" s="224"/>
      <c r="B14" s="232"/>
      <c r="C14" s="226"/>
      <c r="D14" s="92">
        <v>13</v>
      </c>
      <c r="E14" s="233"/>
      <c r="F14" s="12" t="s">
        <v>108</v>
      </c>
      <c r="G14" s="232"/>
      <c r="H14" s="15"/>
      <c r="I14" s="247"/>
      <c r="J14" s="247"/>
      <c r="K14" s="247"/>
      <c r="L14" s="247"/>
      <c r="M14" s="247"/>
      <c r="N14" s="247"/>
      <c r="O14" s="247"/>
      <c r="P14" s="208">
        <f t="shared" si="0"/>
        <v>0</v>
      </c>
    </row>
    <row r="15" spans="1:16" ht="15" hidden="1" customHeight="1">
      <c r="A15" s="224"/>
      <c r="B15" s="232"/>
      <c r="C15" s="226"/>
      <c r="D15" s="92">
        <v>14</v>
      </c>
      <c r="E15" s="233"/>
      <c r="F15" s="12" t="s">
        <v>109</v>
      </c>
      <c r="G15" s="232"/>
      <c r="H15" s="15"/>
      <c r="I15" s="247"/>
      <c r="J15" s="247"/>
      <c r="K15" s="247"/>
      <c r="L15" s="247"/>
      <c r="M15" s="247"/>
      <c r="N15" s="247"/>
      <c r="O15" s="247"/>
      <c r="P15" s="208">
        <f t="shared" si="0"/>
        <v>0</v>
      </c>
    </row>
    <row r="16" spans="1:16" ht="15" hidden="1" customHeight="1">
      <c r="A16" s="224"/>
      <c r="B16" s="232"/>
      <c r="C16" s="226"/>
      <c r="D16" s="92">
        <v>15</v>
      </c>
      <c r="E16" s="233"/>
      <c r="F16" s="12" t="s">
        <v>110</v>
      </c>
      <c r="G16" s="232"/>
      <c r="H16" s="15"/>
      <c r="I16" s="247"/>
      <c r="J16" s="247"/>
      <c r="K16" s="247"/>
      <c r="L16" s="247"/>
      <c r="M16" s="247"/>
      <c r="N16" s="247"/>
      <c r="O16" s="247"/>
      <c r="P16" s="208">
        <f t="shared" si="0"/>
        <v>0</v>
      </c>
    </row>
    <row r="17" spans="1:16" ht="15" hidden="1" customHeight="1">
      <c r="A17" s="224"/>
      <c r="B17" s="232"/>
      <c r="C17" s="226"/>
      <c r="D17" s="92">
        <v>16</v>
      </c>
      <c r="E17" s="233"/>
      <c r="F17" s="12" t="s">
        <v>111</v>
      </c>
      <c r="G17" s="232"/>
      <c r="H17" s="15"/>
      <c r="I17" s="247"/>
      <c r="J17" s="247"/>
      <c r="K17" s="247"/>
      <c r="L17" s="247"/>
      <c r="M17" s="247"/>
      <c r="N17" s="247"/>
      <c r="O17" s="247"/>
      <c r="P17" s="208">
        <f t="shared" si="0"/>
        <v>0</v>
      </c>
    </row>
    <row r="18" spans="1:16" ht="15" hidden="1" customHeight="1">
      <c r="A18" s="224"/>
      <c r="B18" s="232"/>
      <c r="C18" s="226"/>
      <c r="D18" s="92">
        <v>17</v>
      </c>
      <c r="E18" s="233"/>
      <c r="F18" s="12" t="s">
        <v>112</v>
      </c>
      <c r="G18" s="232"/>
      <c r="H18" s="15"/>
      <c r="I18" s="247"/>
      <c r="J18" s="247"/>
      <c r="K18" s="247"/>
      <c r="L18" s="247"/>
      <c r="M18" s="247"/>
      <c r="N18" s="247"/>
      <c r="O18" s="247"/>
      <c r="P18" s="208">
        <f t="shared" si="0"/>
        <v>0</v>
      </c>
    </row>
    <row r="19" spans="1:16" ht="15" hidden="1" customHeight="1">
      <c r="A19" s="224"/>
      <c r="B19" s="232"/>
      <c r="C19" s="226"/>
      <c r="D19" s="92">
        <v>18</v>
      </c>
      <c r="E19" s="233"/>
      <c r="F19" s="12" t="s">
        <v>95</v>
      </c>
      <c r="G19" s="232"/>
      <c r="H19" s="15"/>
      <c r="I19" s="247"/>
      <c r="J19" s="247"/>
      <c r="K19" s="247"/>
      <c r="L19" s="247"/>
      <c r="M19" s="247"/>
      <c r="N19" s="247"/>
      <c r="O19" s="247"/>
      <c r="P19" s="208">
        <f t="shared" si="0"/>
        <v>0</v>
      </c>
    </row>
    <row r="20" spans="1:16" ht="15" hidden="1" customHeight="1">
      <c r="A20" s="224"/>
      <c r="B20" s="232"/>
      <c r="C20" s="226"/>
      <c r="D20" s="92">
        <v>19</v>
      </c>
      <c r="E20" s="233"/>
      <c r="F20" s="12" t="s">
        <v>113</v>
      </c>
      <c r="G20" s="232"/>
      <c r="H20" s="15"/>
      <c r="I20" s="247"/>
      <c r="J20" s="247"/>
      <c r="K20" s="247"/>
      <c r="L20" s="247"/>
      <c r="M20" s="247"/>
      <c r="N20" s="247"/>
      <c r="O20" s="247"/>
      <c r="P20" s="208">
        <f t="shared" si="0"/>
        <v>0</v>
      </c>
    </row>
    <row r="21" spans="1:16" ht="15" hidden="1" customHeight="1">
      <c r="A21" s="224"/>
      <c r="B21" s="232"/>
      <c r="C21" s="226"/>
      <c r="D21" s="92">
        <v>20</v>
      </c>
      <c r="E21" s="233"/>
      <c r="F21" s="12" t="s">
        <v>114</v>
      </c>
      <c r="G21" s="232"/>
      <c r="H21" s="15"/>
      <c r="I21" s="247"/>
      <c r="J21" s="247"/>
      <c r="K21" s="247"/>
      <c r="L21" s="247"/>
      <c r="M21" s="247"/>
      <c r="N21" s="247"/>
      <c r="O21" s="247"/>
      <c r="P21" s="208">
        <f t="shared" si="0"/>
        <v>0</v>
      </c>
    </row>
    <row r="22" spans="1:16" ht="15" hidden="1" customHeight="1">
      <c r="A22" s="224"/>
      <c r="B22" s="232"/>
      <c r="C22" s="226"/>
      <c r="D22" s="92">
        <v>21</v>
      </c>
      <c r="E22" s="233"/>
      <c r="F22" s="12" t="s">
        <v>115</v>
      </c>
      <c r="G22" s="232"/>
      <c r="H22" s="15"/>
      <c r="I22" s="247"/>
      <c r="J22" s="247"/>
      <c r="K22" s="247"/>
      <c r="L22" s="247"/>
      <c r="M22" s="247"/>
      <c r="N22" s="247"/>
      <c r="O22" s="247"/>
      <c r="P22" s="208">
        <f t="shared" si="0"/>
        <v>0</v>
      </c>
    </row>
    <row r="23" spans="1:16" ht="15" hidden="1" customHeight="1">
      <c r="A23" s="224"/>
      <c r="B23" s="232"/>
      <c r="C23" s="226"/>
      <c r="D23" s="92">
        <v>22</v>
      </c>
      <c r="E23" s="233"/>
      <c r="F23" s="12" t="s">
        <v>116</v>
      </c>
      <c r="G23" s="232"/>
      <c r="H23" s="15"/>
      <c r="I23" s="247"/>
      <c r="J23" s="247"/>
      <c r="K23" s="247"/>
      <c r="L23" s="247"/>
      <c r="M23" s="247"/>
      <c r="N23" s="247"/>
      <c r="O23" s="247"/>
      <c r="P23" s="208">
        <f t="shared" si="0"/>
        <v>0</v>
      </c>
    </row>
    <row r="24" spans="1:16" ht="15" hidden="1" customHeight="1">
      <c r="A24" s="224"/>
      <c r="B24" s="232"/>
      <c r="C24" s="226"/>
      <c r="D24" s="92">
        <v>23</v>
      </c>
      <c r="E24" s="233"/>
      <c r="F24" s="12" t="s">
        <v>117</v>
      </c>
      <c r="G24" s="232"/>
      <c r="H24" s="15"/>
      <c r="I24" s="247"/>
      <c r="J24" s="247"/>
      <c r="K24" s="247"/>
      <c r="L24" s="247"/>
      <c r="M24" s="247"/>
      <c r="N24" s="247"/>
      <c r="O24" s="247"/>
      <c r="P24" s="208">
        <f t="shared" si="0"/>
        <v>0</v>
      </c>
    </row>
    <row r="25" spans="1:16" ht="15" hidden="1" customHeight="1">
      <c r="A25" s="224"/>
      <c r="B25" s="232"/>
      <c r="C25" s="226"/>
      <c r="D25" s="92">
        <v>24</v>
      </c>
      <c r="E25" s="233"/>
      <c r="F25" s="12" t="s">
        <v>118</v>
      </c>
      <c r="G25" s="232"/>
      <c r="H25" s="15"/>
      <c r="I25" s="247"/>
      <c r="J25" s="247"/>
      <c r="K25" s="247"/>
      <c r="L25" s="247"/>
      <c r="M25" s="247"/>
      <c r="N25" s="247"/>
      <c r="O25" s="247"/>
      <c r="P25" s="208">
        <f t="shared" si="0"/>
        <v>0</v>
      </c>
    </row>
    <row r="26" spans="1:16">
      <c r="A26" s="224"/>
      <c r="B26" s="232"/>
      <c r="C26" s="226"/>
      <c r="D26" s="92">
        <v>25</v>
      </c>
      <c r="E26" s="233"/>
      <c r="F26" s="12" t="s">
        <v>95</v>
      </c>
      <c r="G26" s="232"/>
      <c r="H26" s="13" t="s">
        <v>209</v>
      </c>
      <c r="I26" s="247"/>
      <c r="J26" s="247"/>
      <c r="K26" s="247"/>
      <c r="L26" s="247"/>
      <c r="M26" s="247"/>
      <c r="N26" s="247"/>
      <c r="O26" s="247"/>
      <c r="P26" s="208">
        <f t="shared" si="0"/>
        <v>0</v>
      </c>
    </row>
    <row r="27" spans="1:16">
      <c r="A27" s="224"/>
      <c r="B27" s="232"/>
      <c r="C27" s="226"/>
      <c r="D27" s="92">
        <v>26</v>
      </c>
      <c r="E27" s="233"/>
      <c r="F27" s="10" t="s">
        <v>96</v>
      </c>
      <c r="G27" s="232"/>
      <c r="H27" s="13" t="s">
        <v>211</v>
      </c>
      <c r="I27" s="247"/>
      <c r="J27" s="247"/>
      <c r="K27" s="247"/>
      <c r="L27" s="247"/>
      <c r="M27" s="247"/>
      <c r="N27" s="247"/>
      <c r="O27" s="247"/>
      <c r="P27" s="208">
        <f t="shared" si="0"/>
        <v>0</v>
      </c>
    </row>
    <row r="28" spans="1:16">
      <c r="A28" s="224"/>
      <c r="B28" s="232"/>
      <c r="C28" s="226"/>
      <c r="D28" s="92">
        <v>27</v>
      </c>
      <c r="E28" s="233"/>
      <c r="F28" s="10" t="s">
        <v>97</v>
      </c>
      <c r="G28" s="232"/>
      <c r="H28" s="13" t="s">
        <v>212</v>
      </c>
      <c r="I28" s="247"/>
      <c r="J28" s="247"/>
      <c r="K28" s="247"/>
      <c r="L28" s="247"/>
      <c r="M28" s="247"/>
      <c r="N28" s="247"/>
      <c r="O28" s="247"/>
      <c r="P28" s="208">
        <f t="shared" si="0"/>
        <v>0</v>
      </c>
    </row>
    <row r="29" spans="1:16">
      <c r="A29" s="224"/>
      <c r="B29" s="232"/>
      <c r="C29" s="226"/>
      <c r="D29" s="92">
        <v>28</v>
      </c>
      <c r="E29" s="233"/>
      <c r="F29" s="10" t="s">
        <v>98</v>
      </c>
      <c r="G29" s="232"/>
      <c r="H29" s="13" t="s">
        <v>213</v>
      </c>
      <c r="I29" s="247"/>
      <c r="J29" s="247"/>
      <c r="K29" s="247"/>
      <c r="L29" s="247"/>
      <c r="M29" s="247"/>
      <c r="N29" s="247"/>
      <c r="O29" s="247"/>
      <c r="P29" s="208">
        <f t="shared" si="0"/>
        <v>0</v>
      </c>
    </row>
    <row r="30" spans="1:16">
      <c r="A30" s="224"/>
      <c r="B30" s="232"/>
      <c r="C30" s="226"/>
      <c r="D30" s="92">
        <v>29</v>
      </c>
      <c r="E30" s="233"/>
      <c r="F30" s="10" t="s">
        <v>121</v>
      </c>
      <c r="G30" s="232"/>
      <c r="H30" s="13" t="s">
        <v>215</v>
      </c>
      <c r="I30" s="247"/>
      <c r="J30" s="247"/>
      <c r="K30" s="247"/>
      <c r="L30" s="247"/>
      <c r="M30" s="247"/>
      <c r="N30" s="247"/>
      <c r="O30" s="247"/>
      <c r="P30" s="208">
        <f t="shared" si="0"/>
        <v>0</v>
      </c>
    </row>
    <row r="31" spans="1:16">
      <c r="A31" s="224"/>
      <c r="B31" s="232"/>
      <c r="C31" s="226"/>
      <c r="D31" s="92">
        <v>30</v>
      </c>
      <c r="E31" s="233"/>
      <c r="F31" s="10" t="s">
        <v>122</v>
      </c>
      <c r="G31" s="232"/>
      <c r="H31" s="13" t="s">
        <v>216</v>
      </c>
      <c r="I31" s="247"/>
      <c r="J31" s="247"/>
      <c r="K31" s="247"/>
      <c r="L31" s="247"/>
      <c r="M31" s="247"/>
      <c r="N31" s="247"/>
      <c r="O31" s="247"/>
      <c r="P31" s="208">
        <f t="shared" si="0"/>
        <v>0</v>
      </c>
    </row>
    <row r="32" spans="1:16">
      <c r="A32" s="224"/>
      <c r="B32" s="232"/>
      <c r="C32" s="226"/>
      <c r="D32" s="92">
        <v>31</v>
      </c>
      <c r="E32" s="233"/>
      <c r="F32" s="10" t="s">
        <v>123</v>
      </c>
      <c r="G32" s="232"/>
      <c r="H32" s="13" t="s">
        <v>217</v>
      </c>
      <c r="I32" s="247"/>
      <c r="J32" s="247"/>
      <c r="K32" s="247"/>
      <c r="L32" s="247"/>
      <c r="M32" s="247"/>
      <c r="N32" s="247"/>
      <c r="O32" s="247"/>
      <c r="P32" s="208">
        <f t="shared" si="0"/>
        <v>0</v>
      </c>
    </row>
    <row r="33" spans="1:17">
      <c r="A33" s="224"/>
      <c r="B33" s="232"/>
      <c r="C33" s="226"/>
      <c r="D33" s="92">
        <v>32</v>
      </c>
      <c r="E33" s="233"/>
      <c r="F33" s="10" t="s">
        <v>125</v>
      </c>
      <c r="G33" s="232"/>
      <c r="H33" s="13" t="s">
        <v>219</v>
      </c>
      <c r="I33" s="247"/>
      <c r="J33" s="247"/>
      <c r="K33" s="247"/>
      <c r="L33" s="247"/>
      <c r="M33" s="247"/>
      <c r="N33" s="247"/>
      <c r="O33" s="247"/>
      <c r="P33" s="208">
        <f t="shared" si="0"/>
        <v>0</v>
      </c>
    </row>
    <row r="34" spans="1:17">
      <c r="A34" s="224"/>
      <c r="B34" s="232"/>
      <c r="C34" s="226"/>
      <c r="D34" s="92">
        <v>33</v>
      </c>
      <c r="E34" s="233"/>
      <c r="F34" s="10" t="s">
        <v>126</v>
      </c>
      <c r="G34" s="232"/>
      <c r="H34" s="13" t="s">
        <v>220</v>
      </c>
      <c r="I34" s="247"/>
      <c r="J34" s="247"/>
      <c r="K34" s="247"/>
      <c r="L34" s="247"/>
      <c r="M34" s="247"/>
      <c r="N34" s="247"/>
      <c r="O34" s="247"/>
      <c r="P34" s="208">
        <f t="shared" si="0"/>
        <v>0</v>
      </c>
    </row>
    <row r="35" spans="1:17">
      <c r="A35" s="224"/>
      <c r="B35" s="232"/>
      <c r="C35" s="226"/>
      <c r="D35" s="92">
        <v>34</v>
      </c>
      <c r="E35" s="233"/>
      <c r="F35" s="10" t="s">
        <v>127</v>
      </c>
      <c r="G35" s="232"/>
      <c r="H35" s="13" t="s">
        <v>221</v>
      </c>
      <c r="I35" s="247"/>
      <c r="J35" s="247"/>
      <c r="K35" s="247"/>
      <c r="L35" s="247"/>
      <c r="M35" s="247"/>
      <c r="N35" s="247"/>
      <c r="O35" s="247"/>
      <c r="P35" s="208">
        <f t="shared" si="0"/>
        <v>0</v>
      </c>
    </row>
    <row r="36" spans="1:17">
      <c r="A36" s="224"/>
      <c r="B36" s="232"/>
      <c r="C36" s="226"/>
      <c r="D36" s="92">
        <v>35</v>
      </c>
      <c r="E36" s="233"/>
      <c r="F36" s="10" t="s">
        <v>129</v>
      </c>
      <c r="G36" s="232"/>
      <c r="H36" s="13" t="s">
        <v>223</v>
      </c>
      <c r="I36" s="247"/>
      <c r="J36" s="247"/>
      <c r="K36" s="247"/>
      <c r="L36" s="247"/>
      <c r="M36" s="247"/>
      <c r="N36" s="247"/>
      <c r="O36" s="247"/>
      <c r="P36" s="208">
        <f t="shared" si="0"/>
        <v>0</v>
      </c>
    </row>
    <row r="37" spans="1:17">
      <c r="A37" s="224"/>
      <c r="B37" s="232"/>
      <c r="C37" s="226"/>
      <c r="D37" s="92">
        <v>36</v>
      </c>
      <c r="E37" s="233"/>
      <c r="F37" s="10" t="s">
        <v>130</v>
      </c>
      <c r="G37" s="232"/>
      <c r="H37" s="13" t="s">
        <v>224</v>
      </c>
      <c r="I37" s="247"/>
      <c r="J37" s="247"/>
      <c r="K37" s="247"/>
      <c r="L37" s="247"/>
      <c r="M37" s="247"/>
      <c r="N37" s="247"/>
      <c r="O37" s="247"/>
      <c r="P37" s="208">
        <f t="shared" si="0"/>
        <v>0</v>
      </c>
    </row>
    <row r="38" spans="1:17">
      <c r="A38" s="224"/>
      <c r="B38" s="232"/>
      <c r="C38" s="226"/>
      <c r="D38" s="92">
        <v>37</v>
      </c>
      <c r="E38" s="233"/>
      <c r="F38" s="10" t="s">
        <v>131</v>
      </c>
      <c r="G38" s="232"/>
      <c r="H38" s="13" t="s">
        <v>225</v>
      </c>
      <c r="I38" s="247"/>
      <c r="J38" s="247"/>
      <c r="K38" s="247"/>
      <c r="L38" s="247"/>
      <c r="M38" s="247"/>
      <c r="N38" s="247"/>
      <c r="O38" s="247"/>
      <c r="P38" s="208">
        <f t="shared" si="0"/>
        <v>0</v>
      </c>
    </row>
    <row r="39" spans="1:17">
      <c r="A39" s="224"/>
      <c r="B39" s="231"/>
      <c r="C39" s="227"/>
      <c r="D39" s="92">
        <v>38</v>
      </c>
      <c r="E39" s="229"/>
      <c r="F39" s="10" t="s">
        <v>138</v>
      </c>
      <c r="G39" s="231"/>
      <c r="H39" s="13" t="s">
        <v>204</v>
      </c>
      <c r="I39" s="247"/>
      <c r="J39" s="247"/>
      <c r="K39" s="247"/>
      <c r="L39" s="247"/>
      <c r="M39" s="247"/>
      <c r="N39" s="247"/>
      <c r="O39" s="247"/>
      <c r="P39" s="208">
        <f t="shared" si="0"/>
        <v>0</v>
      </c>
    </row>
    <row r="40" spans="1:17">
      <c r="A40" s="225">
        <v>10</v>
      </c>
      <c r="B40" s="230" t="s">
        <v>316</v>
      </c>
      <c r="C40" s="225">
        <v>8</v>
      </c>
      <c r="D40" s="92">
        <v>39</v>
      </c>
      <c r="E40" s="228">
        <v>2</v>
      </c>
      <c r="F40" s="10" t="s">
        <v>119</v>
      </c>
      <c r="G40" s="230" t="s">
        <v>695</v>
      </c>
      <c r="H40" s="13" t="s">
        <v>210</v>
      </c>
      <c r="I40" s="247">
        <v>4</v>
      </c>
      <c r="J40" s="247">
        <v>4</v>
      </c>
      <c r="K40" s="247"/>
      <c r="L40" s="247"/>
      <c r="M40" s="247"/>
      <c r="N40" s="247"/>
      <c r="O40" s="247"/>
      <c r="P40" s="208">
        <f t="shared" si="0"/>
        <v>-2</v>
      </c>
    </row>
    <row r="41" spans="1:17">
      <c r="A41" s="226"/>
      <c r="B41" s="232"/>
      <c r="C41" s="226"/>
      <c r="D41" s="92">
        <v>40</v>
      </c>
      <c r="E41" s="233"/>
      <c r="F41" s="10" t="s">
        <v>120</v>
      </c>
      <c r="G41" s="226"/>
      <c r="H41" s="13" t="s">
        <v>214</v>
      </c>
      <c r="I41" s="247"/>
      <c r="J41" s="247"/>
      <c r="K41" s="247"/>
      <c r="L41" s="247"/>
      <c r="M41" s="247"/>
      <c r="N41" s="247"/>
      <c r="O41" s="247"/>
      <c r="P41" s="208">
        <f t="shared" si="0"/>
        <v>0</v>
      </c>
    </row>
    <row r="42" spans="1:17">
      <c r="A42" s="226"/>
      <c r="B42" s="232"/>
      <c r="C42" s="226"/>
      <c r="D42" s="92">
        <v>41</v>
      </c>
      <c r="E42" s="233"/>
      <c r="F42" s="10" t="s">
        <v>124</v>
      </c>
      <c r="G42" s="226"/>
      <c r="H42" s="13" t="s">
        <v>218</v>
      </c>
      <c r="I42" s="247"/>
      <c r="J42" s="247"/>
      <c r="K42" s="247"/>
      <c r="L42" s="247"/>
      <c r="M42" s="247"/>
      <c r="N42" s="247"/>
      <c r="O42" s="247"/>
      <c r="P42" s="208">
        <f t="shared" si="0"/>
        <v>0</v>
      </c>
    </row>
    <row r="43" spans="1:17">
      <c r="A43" s="226"/>
      <c r="B43" s="232"/>
      <c r="C43" s="226"/>
      <c r="D43" s="92">
        <v>42</v>
      </c>
      <c r="E43" s="233"/>
      <c r="F43" s="10" t="s">
        <v>128</v>
      </c>
      <c r="G43" s="226"/>
      <c r="H43" s="13" t="s">
        <v>222</v>
      </c>
      <c r="I43" s="247"/>
      <c r="J43" s="247"/>
      <c r="K43" s="247"/>
      <c r="L43" s="247"/>
      <c r="M43" s="247"/>
      <c r="N43" s="247"/>
      <c r="O43" s="247"/>
      <c r="P43" s="208">
        <f t="shared" si="0"/>
        <v>0</v>
      </c>
    </row>
    <row r="44" spans="1:17">
      <c r="A44" s="226"/>
      <c r="B44" s="232"/>
      <c r="C44" s="226"/>
      <c r="D44" s="92">
        <v>43</v>
      </c>
      <c r="E44" s="233"/>
      <c r="F44" s="10" t="s">
        <v>132</v>
      </c>
      <c r="G44" s="226"/>
      <c r="H44" s="13" t="s">
        <v>228</v>
      </c>
      <c r="I44" s="247"/>
      <c r="J44" s="247"/>
      <c r="K44" s="247"/>
      <c r="L44" s="247"/>
      <c r="M44" s="247"/>
      <c r="N44" s="247"/>
      <c r="O44" s="247"/>
      <c r="P44" s="208">
        <f t="shared" si="0"/>
        <v>0</v>
      </c>
    </row>
    <row r="45" spans="1:17">
      <c r="A45" s="226"/>
      <c r="B45" s="232"/>
      <c r="C45" s="226"/>
      <c r="D45" s="92">
        <v>44</v>
      </c>
      <c r="E45" s="233"/>
      <c r="F45" s="10" t="s">
        <v>133</v>
      </c>
      <c r="G45" s="226"/>
      <c r="H45" s="13" t="s">
        <v>229</v>
      </c>
      <c r="I45" s="247"/>
      <c r="J45" s="247"/>
      <c r="K45" s="247"/>
      <c r="L45" s="247"/>
      <c r="M45" s="247"/>
      <c r="N45" s="247"/>
      <c r="O45" s="247"/>
      <c r="P45" s="208">
        <f t="shared" si="0"/>
        <v>0</v>
      </c>
    </row>
    <row r="46" spans="1:17">
      <c r="A46" s="226"/>
      <c r="B46" s="232"/>
      <c r="C46" s="226"/>
      <c r="D46" s="92">
        <v>45</v>
      </c>
      <c r="E46" s="233"/>
      <c r="F46" s="10" t="s">
        <v>134</v>
      </c>
      <c r="G46" s="226"/>
      <c r="H46" s="13" t="s">
        <v>226</v>
      </c>
      <c r="I46" s="247"/>
      <c r="J46" s="247"/>
      <c r="K46" s="247"/>
      <c r="L46" s="247"/>
      <c r="M46" s="247"/>
      <c r="N46" s="247"/>
      <c r="O46" s="247"/>
      <c r="P46" s="208">
        <f t="shared" si="0"/>
        <v>0</v>
      </c>
    </row>
    <row r="47" spans="1:17">
      <c r="A47" s="227"/>
      <c r="B47" s="231"/>
      <c r="C47" s="227"/>
      <c r="D47" s="92">
        <v>46</v>
      </c>
      <c r="E47" s="229"/>
      <c r="F47" s="10" t="s">
        <v>135</v>
      </c>
      <c r="G47" s="227"/>
      <c r="H47" s="13" t="s">
        <v>227</v>
      </c>
      <c r="I47" s="247"/>
      <c r="J47" s="247"/>
      <c r="K47" s="247"/>
      <c r="L47" s="247"/>
      <c r="M47" s="247"/>
      <c r="N47" s="247"/>
      <c r="O47" s="247"/>
      <c r="P47" s="208">
        <f t="shared" si="0"/>
        <v>0</v>
      </c>
    </row>
    <row r="48" spans="1:17">
      <c r="C48" s="20">
        <f>SUM(C13:C47)</f>
        <v>23</v>
      </c>
      <c r="D48" s="102"/>
      <c r="E48" s="102"/>
      <c r="F48" s="99"/>
      <c r="G48" s="8"/>
      <c r="H48" s="15"/>
      <c r="I48" s="15"/>
      <c r="J48" s="15"/>
      <c r="K48" s="8"/>
      <c r="L48" s="8"/>
      <c r="M48" s="8"/>
      <c r="N48" s="8"/>
      <c r="O48" s="8"/>
      <c r="P48" s="208">
        <f>SUM(P1:P47)</f>
        <v>7</v>
      </c>
      <c r="Q48" s="8" t="s">
        <v>696</v>
      </c>
    </row>
  </sheetData>
  <mergeCells count="29">
    <mergeCell ref="A9:A10"/>
    <mergeCell ref="G13:G39"/>
    <mergeCell ref="C9:C10"/>
    <mergeCell ref="E9:E10"/>
    <mergeCell ref="G40:G47"/>
    <mergeCell ref="C40:C47"/>
    <mergeCell ref="E40:E47"/>
    <mergeCell ref="B9:B10"/>
    <mergeCell ref="G9:G10"/>
    <mergeCell ref="B13:B39"/>
    <mergeCell ref="C13:C39"/>
    <mergeCell ref="E13:E39"/>
    <mergeCell ref="I13:I39"/>
    <mergeCell ref="I40:I47"/>
    <mergeCell ref="B40:B47"/>
    <mergeCell ref="A13:A39"/>
    <mergeCell ref="A40:A47"/>
    <mergeCell ref="O13:O39"/>
    <mergeCell ref="J40:J47"/>
    <mergeCell ref="K40:K47"/>
    <mergeCell ref="L40:L47"/>
    <mergeCell ref="M40:M47"/>
    <mergeCell ref="N40:N47"/>
    <mergeCell ref="O40:O47"/>
    <mergeCell ref="J13:J39"/>
    <mergeCell ref="K13:K39"/>
    <mergeCell ref="L13:L39"/>
    <mergeCell ref="M13:M39"/>
    <mergeCell ref="N13:N39"/>
  </mergeCells>
  <pageMargins left="0.25" right="0.25" top="0.75" bottom="0.75" header="0.3" footer="0.3"/>
  <pageSetup scale="5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21"/>
  <sheetViews>
    <sheetView topLeftCell="C1" zoomScale="87" zoomScaleNormal="87" workbookViewId="0">
      <selection activeCell="O1" sqref="O1"/>
    </sheetView>
  </sheetViews>
  <sheetFormatPr defaultRowHeight="15"/>
  <cols>
    <col min="1" max="1" width="6.28515625" style="20" bestFit="1" customWidth="1"/>
    <col min="2" max="2" width="26.5703125" bestFit="1" customWidth="1"/>
    <col min="3" max="3" width="5.85546875" style="4" customWidth="1"/>
    <col min="4" max="4" width="7.28515625" style="4" customWidth="1"/>
    <col min="5" max="5" width="7.85546875" bestFit="1" customWidth="1"/>
    <col min="6" max="6" width="64.85546875" customWidth="1"/>
    <col min="7" max="7" width="39.5703125" style="23" customWidth="1"/>
    <col min="8" max="8" width="10.7109375" style="4" customWidth="1"/>
    <col min="9" max="9" width="7.28515625" style="5" customWidth="1"/>
    <col min="10" max="10" width="7.7109375" style="23" customWidth="1"/>
    <col min="11" max="11" width="6.28515625" customWidth="1"/>
    <col min="12" max="12" width="6.5703125" customWidth="1"/>
    <col min="13" max="13" width="7.140625" customWidth="1"/>
    <col min="14" max="14" width="6.7109375" customWidth="1"/>
    <col min="15" max="15" width="20" customWidth="1"/>
  </cols>
  <sheetData>
    <row r="1" spans="1:15" ht="56.25">
      <c r="A1" s="55" t="s">
        <v>35</v>
      </c>
      <c r="B1" s="47" t="s">
        <v>137</v>
      </c>
      <c r="C1" s="115" t="s">
        <v>37</v>
      </c>
      <c r="D1" s="115" t="s">
        <v>38</v>
      </c>
      <c r="E1" s="115" t="s">
        <v>0</v>
      </c>
      <c r="F1" s="115" t="s">
        <v>39</v>
      </c>
      <c r="G1" s="121" t="s">
        <v>41</v>
      </c>
      <c r="H1" s="116" t="s">
        <v>419</v>
      </c>
      <c r="I1" s="212" t="s">
        <v>609</v>
      </c>
      <c r="J1" s="117" t="s">
        <v>610</v>
      </c>
      <c r="K1" s="117" t="s">
        <v>611</v>
      </c>
      <c r="L1" s="117" t="s">
        <v>612</v>
      </c>
      <c r="M1" s="117" t="s">
        <v>613</v>
      </c>
      <c r="N1" s="117" t="s">
        <v>614</v>
      </c>
      <c r="O1" s="211" t="s">
        <v>693</v>
      </c>
    </row>
    <row r="2" spans="1:15" ht="96.75" customHeight="1">
      <c r="A2" s="34">
        <v>1</v>
      </c>
      <c r="B2" s="1" t="s">
        <v>317</v>
      </c>
      <c r="C2" s="110">
        <v>1</v>
      </c>
      <c r="D2" s="118">
        <v>1</v>
      </c>
      <c r="E2" s="119" t="s">
        <v>148</v>
      </c>
      <c r="F2" s="109" t="s">
        <v>157</v>
      </c>
      <c r="G2" s="120" t="s">
        <v>179</v>
      </c>
      <c r="H2" s="110">
        <v>1</v>
      </c>
      <c r="I2" s="109">
        <v>1</v>
      </c>
      <c r="J2" s="120"/>
      <c r="K2" s="112"/>
      <c r="L2" s="112"/>
      <c r="M2" s="112"/>
      <c r="N2" s="112"/>
      <c r="O2" s="208">
        <f>SUM(D2-H2)</f>
        <v>0</v>
      </c>
    </row>
    <row r="3" spans="1:15" ht="92.25" customHeight="1">
      <c r="A3" s="34">
        <v>2</v>
      </c>
      <c r="B3" s="1" t="s">
        <v>318</v>
      </c>
      <c r="C3" s="110">
        <v>1</v>
      </c>
      <c r="D3" s="118">
        <v>1</v>
      </c>
      <c r="E3" s="119" t="s">
        <v>149</v>
      </c>
      <c r="F3" s="109" t="s">
        <v>158</v>
      </c>
      <c r="G3" s="120" t="s">
        <v>180</v>
      </c>
      <c r="H3" s="110">
        <v>0</v>
      </c>
      <c r="I3" s="109">
        <v>0</v>
      </c>
      <c r="J3" s="120"/>
      <c r="K3" s="112"/>
      <c r="L3" s="112"/>
      <c r="M3" s="112"/>
      <c r="N3" s="112"/>
      <c r="O3" s="208">
        <f t="shared" ref="O3:O20" si="0">SUM(D3-H3)</f>
        <v>1</v>
      </c>
    </row>
    <row r="4" spans="1:15" ht="93.75">
      <c r="A4" s="34">
        <v>3</v>
      </c>
      <c r="B4" s="1" t="s">
        <v>319</v>
      </c>
      <c r="C4" s="110">
        <v>1</v>
      </c>
      <c r="D4" s="118">
        <v>1</v>
      </c>
      <c r="E4" s="119" t="s">
        <v>150</v>
      </c>
      <c r="F4" s="112" t="s">
        <v>159</v>
      </c>
      <c r="G4" s="120" t="s">
        <v>181</v>
      </c>
      <c r="H4" s="110">
        <v>0</v>
      </c>
      <c r="I4" s="109">
        <v>0</v>
      </c>
      <c r="J4" s="120"/>
      <c r="K4" s="112"/>
      <c r="L4" s="112"/>
      <c r="M4" s="112"/>
      <c r="N4" s="112"/>
      <c r="O4" s="208">
        <f t="shared" si="0"/>
        <v>1</v>
      </c>
    </row>
    <row r="5" spans="1:15" ht="93.75">
      <c r="A5" s="34">
        <v>4</v>
      </c>
      <c r="B5" s="1" t="s">
        <v>320</v>
      </c>
      <c r="C5" s="110">
        <v>1</v>
      </c>
      <c r="D5" s="118">
        <v>1</v>
      </c>
      <c r="E5" s="119" t="s">
        <v>151</v>
      </c>
      <c r="F5" s="112" t="s">
        <v>160</v>
      </c>
      <c r="G5" s="120" t="s">
        <v>183</v>
      </c>
      <c r="H5" s="110">
        <v>0</v>
      </c>
      <c r="I5" s="109">
        <v>0</v>
      </c>
      <c r="J5" s="120"/>
      <c r="K5" s="112"/>
      <c r="L5" s="112"/>
      <c r="M5" s="112"/>
      <c r="N5" s="112"/>
      <c r="O5" s="208">
        <f t="shared" si="0"/>
        <v>1</v>
      </c>
    </row>
    <row r="6" spans="1:15" ht="93.75">
      <c r="A6" s="34">
        <v>5</v>
      </c>
      <c r="B6" s="1" t="s">
        <v>321</v>
      </c>
      <c r="C6" s="110">
        <v>1</v>
      </c>
      <c r="D6" s="118">
        <v>1</v>
      </c>
      <c r="E6" s="119" t="s">
        <v>152</v>
      </c>
      <c r="F6" s="112" t="s">
        <v>161</v>
      </c>
      <c r="G6" s="120" t="s">
        <v>184</v>
      </c>
      <c r="H6" s="110">
        <v>0</v>
      </c>
      <c r="I6" s="109">
        <v>0</v>
      </c>
      <c r="J6" s="120"/>
      <c r="K6" s="112"/>
      <c r="L6" s="112"/>
      <c r="M6" s="112"/>
      <c r="N6" s="112"/>
      <c r="O6" s="208">
        <f t="shared" si="0"/>
        <v>1</v>
      </c>
    </row>
    <row r="7" spans="1:15" ht="93.75">
      <c r="A7" s="34">
        <v>6</v>
      </c>
      <c r="B7" s="1" t="s">
        <v>322</v>
      </c>
      <c r="C7" s="110">
        <v>1</v>
      </c>
      <c r="D7" s="118">
        <v>1</v>
      </c>
      <c r="E7" s="119" t="s">
        <v>153</v>
      </c>
      <c r="F7" s="112" t="s">
        <v>162</v>
      </c>
      <c r="G7" s="120" t="s">
        <v>185</v>
      </c>
      <c r="H7" s="110">
        <v>0</v>
      </c>
      <c r="I7" s="109">
        <v>0</v>
      </c>
      <c r="J7" s="120"/>
      <c r="K7" s="112"/>
      <c r="L7" s="112"/>
      <c r="M7" s="112"/>
      <c r="N7" s="112"/>
      <c r="O7" s="208">
        <f t="shared" si="0"/>
        <v>1</v>
      </c>
    </row>
    <row r="8" spans="1:15" ht="93.75">
      <c r="A8" s="225">
        <v>7</v>
      </c>
      <c r="B8" s="255" t="s">
        <v>323</v>
      </c>
      <c r="C8" s="252">
        <v>4</v>
      </c>
      <c r="D8" s="249">
        <v>1</v>
      </c>
      <c r="E8" s="119" t="s">
        <v>155</v>
      </c>
      <c r="F8" s="114" t="s">
        <v>164</v>
      </c>
      <c r="G8" s="120" t="s">
        <v>187</v>
      </c>
      <c r="H8" s="110">
        <v>0</v>
      </c>
      <c r="I8" s="109">
        <v>0</v>
      </c>
      <c r="J8" s="120"/>
      <c r="K8" s="112"/>
      <c r="L8" s="112"/>
      <c r="M8" s="112"/>
      <c r="N8" s="112"/>
      <c r="O8" s="208">
        <f t="shared" si="0"/>
        <v>1</v>
      </c>
    </row>
    <row r="9" spans="1:15" ht="93.75">
      <c r="A9" s="226"/>
      <c r="B9" s="256"/>
      <c r="C9" s="253"/>
      <c r="D9" s="250"/>
      <c r="E9" s="119" t="s">
        <v>168</v>
      </c>
      <c r="F9" s="114" t="s">
        <v>164</v>
      </c>
      <c r="G9" s="120" t="s">
        <v>190</v>
      </c>
      <c r="H9" s="110">
        <v>0</v>
      </c>
      <c r="I9" s="109">
        <v>0</v>
      </c>
      <c r="J9" s="120"/>
      <c r="K9" s="112"/>
      <c r="L9" s="112"/>
      <c r="M9" s="112"/>
      <c r="N9" s="112"/>
      <c r="O9" s="208">
        <f t="shared" si="0"/>
        <v>0</v>
      </c>
    </row>
    <row r="10" spans="1:15" ht="93.75">
      <c r="A10" s="226"/>
      <c r="B10" s="256"/>
      <c r="C10" s="253"/>
      <c r="D10" s="250"/>
      <c r="E10" s="119" t="s">
        <v>171</v>
      </c>
      <c r="F10" s="114" t="s">
        <v>164</v>
      </c>
      <c r="G10" s="120" t="s">
        <v>193</v>
      </c>
      <c r="H10" s="110">
        <v>0</v>
      </c>
      <c r="I10" s="109">
        <v>0</v>
      </c>
      <c r="J10" s="120"/>
      <c r="K10" s="112"/>
      <c r="L10" s="112"/>
      <c r="M10" s="112"/>
      <c r="N10" s="112"/>
      <c r="O10" s="208">
        <f t="shared" si="0"/>
        <v>0</v>
      </c>
    </row>
    <row r="11" spans="1:15" ht="93.75">
      <c r="A11" s="227"/>
      <c r="B11" s="257"/>
      <c r="C11" s="254"/>
      <c r="D11" s="251"/>
      <c r="E11" s="119" t="s">
        <v>174</v>
      </c>
      <c r="F11" s="114" t="s">
        <v>164</v>
      </c>
      <c r="G11" s="120" t="s">
        <v>196</v>
      </c>
      <c r="H11" s="110">
        <v>0</v>
      </c>
      <c r="I11" s="109">
        <v>0</v>
      </c>
      <c r="J11" s="120"/>
      <c r="K11" s="112"/>
      <c r="L11" s="112"/>
      <c r="M11" s="112"/>
      <c r="N11" s="112"/>
      <c r="O11" s="208">
        <f t="shared" si="0"/>
        <v>0</v>
      </c>
    </row>
    <row r="12" spans="1:15" ht="93.75">
      <c r="A12" s="225">
        <v>8</v>
      </c>
      <c r="B12" s="255" t="s">
        <v>324</v>
      </c>
      <c r="C12" s="252">
        <v>4</v>
      </c>
      <c r="D12" s="249">
        <v>1</v>
      </c>
      <c r="E12" s="119" t="s">
        <v>156</v>
      </c>
      <c r="F12" s="114" t="s">
        <v>165</v>
      </c>
      <c r="G12" s="120" t="s">
        <v>188</v>
      </c>
      <c r="H12" s="110">
        <v>0</v>
      </c>
      <c r="I12" s="109">
        <v>0</v>
      </c>
      <c r="J12" s="120"/>
      <c r="K12" s="112"/>
      <c r="L12" s="112"/>
      <c r="M12" s="112"/>
      <c r="N12" s="112"/>
      <c r="O12" s="208">
        <f t="shared" si="0"/>
        <v>1</v>
      </c>
    </row>
    <row r="13" spans="1:15" ht="93.75">
      <c r="A13" s="226"/>
      <c r="B13" s="256"/>
      <c r="C13" s="253"/>
      <c r="D13" s="250"/>
      <c r="E13" s="119" t="s">
        <v>169</v>
      </c>
      <c r="F13" s="114" t="s">
        <v>176</v>
      </c>
      <c r="G13" s="120" t="s">
        <v>191</v>
      </c>
      <c r="H13" s="110">
        <v>0</v>
      </c>
      <c r="I13" s="109">
        <v>0</v>
      </c>
      <c r="J13" s="120"/>
      <c r="K13" s="112"/>
      <c r="L13" s="112"/>
      <c r="M13" s="112"/>
      <c r="N13" s="112"/>
      <c r="O13" s="208">
        <f t="shared" si="0"/>
        <v>0</v>
      </c>
    </row>
    <row r="14" spans="1:15" ht="93.75">
      <c r="A14" s="226"/>
      <c r="B14" s="256"/>
      <c r="C14" s="253"/>
      <c r="D14" s="250"/>
      <c r="E14" s="119" t="s">
        <v>172</v>
      </c>
      <c r="F14" s="114" t="s">
        <v>176</v>
      </c>
      <c r="G14" s="120" t="s">
        <v>194</v>
      </c>
      <c r="H14" s="110">
        <v>0</v>
      </c>
      <c r="I14" s="109">
        <v>0</v>
      </c>
      <c r="J14" s="120"/>
      <c r="K14" s="112"/>
      <c r="L14" s="112"/>
      <c r="M14" s="112"/>
      <c r="N14" s="112"/>
      <c r="O14" s="208">
        <f t="shared" si="0"/>
        <v>0</v>
      </c>
    </row>
    <row r="15" spans="1:15" ht="93.75">
      <c r="A15" s="227"/>
      <c r="B15" s="257"/>
      <c r="C15" s="254"/>
      <c r="D15" s="251"/>
      <c r="E15" s="119" t="s">
        <v>175</v>
      </c>
      <c r="F15" s="114" t="s">
        <v>176</v>
      </c>
      <c r="G15" s="120" t="s">
        <v>197</v>
      </c>
      <c r="H15" s="110">
        <v>0</v>
      </c>
      <c r="I15" s="109">
        <v>0</v>
      </c>
      <c r="J15" s="120"/>
      <c r="K15" s="112"/>
      <c r="L15" s="112"/>
      <c r="M15" s="112"/>
      <c r="N15" s="112"/>
      <c r="O15" s="208">
        <f t="shared" si="0"/>
        <v>0</v>
      </c>
    </row>
    <row r="16" spans="1:15" ht="93.75">
      <c r="A16" s="225">
        <v>9</v>
      </c>
      <c r="B16" s="255" t="s">
        <v>325</v>
      </c>
      <c r="C16" s="252">
        <v>4</v>
      </c>
      <c r="D16" s="249">
        <v>1</v>
      </c>
      <c r="E16" s="119" t="s">
        <v>154</v>
      </c>
      <c r="F16" s="114" t="s">
        <v>163</v>
      </c>
      <c r="G16" s="120" t="s">
        <v>186</v>
      </c>
      <c r="H16" s="110">
        <v>0</v>
      </c>
      <c r="I16" s="109">
        <v>0</v>
      </c>
      <c r="J16" s="120"/>
      <c r="K16" s="112"/>
      <c r="L16" s="112"/>
      <c r="M16" s="112"/>
      <c r="N16" s="112"/>
      <c r="O16" s="208">
        <f t="shared" si="0"/>
        <v>1</v>
      </c>
    </row>
    <row r="17" spans="1:16" ht="93.75">
      <c r="A17" s="226"/>
      <c r="B17" s="256"/>
      <c r="C17" s="253"/>
      <c r="D17" s="250"/>
      <c r="E17" s="119" t="s">
        <v>166</v>
      </c>
      <c r="F17" s="114" t="s">
        <v>167</v>
      </c>
      <c r="G17" s="120" t="s">
        <v>189</v>
      </c>
      <c r="H17" s="110">
        <v>0</v>
      </c>
      <c r="I17" s="109">
        <v>0</v>
      </c>
      <c r="J17" s="120"/>
      <c r="K17" s="112"/>
      <c r="L17" s="112"/>
      <c r="M17" s="112"/>
      <c r="N17" s="112"/>
      <c r="O17" s="208">
        <f t="shared" si="0"/>
        <v>0</v>
      </c>
    </row>
    <row r="18" spans="1:16" ht="93.75">
      <c r="A18" s="226"/>
      <c r="B18" s="256"/>
      <c r="C18" s="253"/>
      <c r="D18" s="250"/>
      <c r="E18" s="119" t="s">
        <v>170</v>
      </c>
      <c r="F18" s="114" t="s">
        <v>167</v>
      </c>
      <c r="G18" s="120" t="s">
        <v>192</v>
      </c>
      <c r="H18" s="110">
        <v>0</v>
      </c>
      <c r="I18" s="109">
        <v>0</v>
      </c>
      <c r="J18" s="120"/>
      <c r="K18" s="112"/>
      <c r="L18" s="112"/>
      <c r="M18" s="112"/>
      <c r="N18" s="112"/>
      <c r="O18" s="208">
        <f t="shared" si="0"/>
        <v>0</v>
      </c>
    </row>
    <row r="19" spans="1:16" ht="93.75">
      <c r="A19" s="227"/>
      <c r="B19" s="257"/>
      <c r="C19" s="254"/>
      <c r="D19" s="251"/>
      <c r="E19" s="119" t="s">
        <v>173</v>
      </c>
      <c r="F19" s="114" t="s">
        <v>167</v>
      </c>
      <c r="G19" s="120" t="s">
        <v>195</v>
      </c>
      <c r="H19" s="110">
        <v>0</v>
      </c>
      <c r="I19" s="109">
        <v>0</v>
      </c>
      <c r="J19" s="120"/>
      <c r="K19" s="112"/>
      <c r="L19" s="112"/>
      <c r="M19" s="112"/>
      <c r="N19" s="112"/>
      <c r="O19" s="208">
        <f t="shared" si="0"/>
        <v>0</v>
      </c>
    </row>
    <row r="20" spans="1:16" ht="93.75">
      <c r="A20" s="34">
        <v>10</v>
      </c>
      <c r="B20" s="1" t="s">
        <v>326</v>
      </c>
      <c r="C20" s="110">
        <v>1</v>
      </c>
      <c r="D20" s="118">
        <v>1</v>
      </c>
      <c r="E20" s="119" t="s">
        <v>177</v>
      </c>
      <c r="F20" s="114" t="s">
        <v>178</v>
      </c>
      <c r="G20" s="120" t="s">
        <v>182</v>
      </c>
      <c r="H20" s="110">
        <v>0</v>
      </c>
      <c r="I20" s="109">
        <v>0</v>
      </c>
      <c r="J20" s="120"/>
      <c r="K20" s="112"/>
      <c r="L20" s="112"/>
      <c r="M20" s="112"/>
      <c r="N20" s="112"/>
      <c r="O20" s="208">
        <f t="shared" si="0"/>
        <v>1</v>
      </c>
    </row>
    <row r="21" spans="1:16">
      <c r="C21" s="99"/>
      <c r="D21" s="99"/>
      <c r="E21" s="8"/>
      <c r="F21" s="8"/>
      <c r="G21" s="15"/>
      <c r="H21" s="99"/>
      <c r="I21" s="6"/>
      <c r="J21" s="15"/>
      <c r="K21" s="8"/>
      <c r="L21" s="8"/>
      <c r="M21" s="8"/>
      <c r="N21" s="8"/>
      <c r="O21" s="208">
        <f>SUM(O2:O20)</f>
        <v>9</v>
      </c>
      <c r="P21" s="8" t="s">
        <v>696</v>
      </c>
    </row>
  </sheetData>
  <mergeCells count="12">
    <mergeCell ref="A16:A19"/>
    <mergeCell ref="A8:A11"/>
    <mergeCell ref="B8:B11"/>
    <mergeCell ref="B12:B15"/>
    <mergeCell ref="A12:A15"/>
    <mergeCell ref="B16:B19"/>
    <mergeCell ref="D16:D19"/>
    <mergeCell ref="C8:C11"/>
    <mergeCell ref="D8:D11"/>
    <mergeCell ref="C12:C15"/>
    <mergeCell ref="D12:D15"/>
    <mergeCell ref="C16:C19"/>
  </mergeCells>
  <pageMargins left="0.7" right="0.7" top="0.75" bottom="0.75" header="0.32" footer="0.3"/>
  <pageSetup paperSize="9" scale="4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0"/>
  <sheetViews>
    <sheetView workbookViewId="0">
      <selection activeCell="N1" sqref="N1"/>
    </sheetView>
  </sheetViews>
  <sheetFormatPr defaultRowHeight="18.75"/>
  <cols>
    <col min="1" max="1" width="5.5703125" style="143" customWidth="1"/>
    <col min="2" max="2" width="18.85546875" style="143" customWidth="1"/>
    <col min="3" max="5" width="13.85546875" style="143" customWidth="1"/>
    <col min="6" max="6" width="25.7109375" style="143" customWidth="1"/>
    <col min="7" max="7" width="9.140625" style="143"/>
    <col min="8" max="8" width="6.140625" style="143" customWidth="1"/>
    <col min="9" max="9" width="7" style="143" customWidth="1"/>
    <col min="10" max="10" width="7.140625" style="143" customWidth="1"/>
    <col min="11" max="11" width="7.7109375" style="143" customWidth="1"/>
    <col min="12" max="12" width="6.85546875" style="143" customWidth="1"/>
    <col min="13" max="13" width="7.42578125" style="143" customWidth="1"/>
    <col min="14" max="14" width="19" customWidth="1"/>
  </cols>
  <sheetData>
    <row r="1" spans="1:14" ht="24.75" customHeight="1" thickBot="1">
      <c r="A1" s="127" t="s">
        <v>262</v>
      </c>
      <c r="B1" s="128" t="s">
        <v>264</v>
      </c>
      <c r="C1" s="128" t="s">
        <v>0</v>
      </c>
      <c r="D1" s="129" t="s">
        <v>37</v>
      </c>
      <c r="E1" s="129" t="s">
        <v>38</v>
      </c>
      <c r="F1" s="130" t="s">
        <v>263</v>
      </c>
      <c r="G1" s="106" t="s">
        <v>419</v>
      </c>
      <c r="H1" s="107" t="s">
        <v>609</v>
      </c>
      <c r="I1" s="107" t="s">
        <v>610</v>
      </c>
      <c r="J1" s="107" t="s">
        <v>611</v>
      </c>
      <c r="K1" s="107" t="s">
        <v>612</v>
      </c>
      <c r="L1" s="107" t="s">
        <v>613</v>
      </c>
      <c r="M1" s="107" t="s">
        <v>614</v>
      </c>
      <c r="N1" s="211" t="s">
        <v>693</v>
      </c>
    </row>
    <row r="2" spans="1:14" ht="147.75">
      <c r="A2" s="131">
        <v>1</v>
      </c>
      <c r="B2" s="132" t="s">
        <v>327</v>
      </c>
      <c r="C2" s="133" t="s">
        <v>255</v>
      </c>
      <c r="D2" s="134">
        <v>1</v>
      </c>
      <c r="E2" s="135">
        <v>1</v>
      </c>
      <c r="F2" s="134" t="s">
        <v>664</v>
      </c>
      <c r="G2" s="79">
        <v>0</v>
      </c>
      <c r="H2" s="188">
        <v>0</v>
      </c>
      <c r="I2" s="111"/>
      <c r="J2" s="111"/>
      <c r="K2" s="111"/>
      <c r="L2" s="111"/>
      <c r="M2" s="111"/>
      <c r="N2" s="208">
        <f>SUM(E2-G2)</f>
        <v>1</v>
      </c>
    </row>
    <row r="3" spans="1:14" ht="148.5">
      <c r="A3" s="136">
        <v>2</v>
      </c>
      <c r="B3" s="132" t="s">
        <v>328</v>
      </c>
      <c r="C3" s="137" t="s">
        <v>256</v>
      </c>
      <c r="D3" s="138">
        <v>1</v>
      </c>
      <c r="E3" s="139">
        <v>1</v>
      </c>
      <c r="F3" s="138" t="s">
        <v>665</v>
      </c>
      <c r="G3" s="79">
        <v>1</v>
      </c>
      <c r="H3" s="188">
        <v>1</v>
      </c>
      <c r="I3" s="111"/>
      <c r="J3" s="111"/>
      <c r="K3" s="111"/>
      <c r="L3" s="111"/>
      <c r="M3" s="111"/>
      <c r="N3" s="208">
        <f t="shared" ref="N3:N9" si="0">SUM(E3-G3)</f>
        <v>0</v>
      </c>
    </row>
    <row r="4" spans="1:14" ht="166.5">
      <c r="A4" s="136">
        <v>3</v>
      </c>
      <c r="B4" s="132" t="s">
        <v>329</v>
      </c>
      <c r="C4" s="137" t="s">
        <v>257</v>
      </c>
      <c r="D4" s="138">
        <v>1</v>
      </c>
      <c r="E4" s="139">
        <v>1</v>
      </c>
      <c r="F4" s="138" t="s">
        <v>666</v>
      </c>
      <c r="G4" s="79">
        <v>1</v>
      </c>
      <c r="H4" s="188">
        <v>1</v>
      </c>
      <c r="I4" s="111"/>
      <c r="J4" s="111"/>
      <c r="K4" s="111"/>
      <c r="L4" s="111"/>
      <c r="M4" s="111"/>
      <c r="N4" s="208">
        <f t="shared" si="0"/>
        <v>0</v>
      </c>
    </row>
    <row r="5" spans="1:14" ht="166.5">
      <c r="A5" s="136">
        <v>4</v>
      </c>
      <c r="B5" s="132" t="s">
        <v>330</v>
      </c>
      <c r="C5" s="137" t="s">
        <v>258</v>
      </c>
      <c r="D5" s="140">
        <v>1</v>
      </c>
      <c r="E5" s="141">
        <v>1</v>
      </c>
      <c r="F5" s="138" t="s">
        <v>667</v>
      </c>
      <c r="G5" s="79">
        <v>0</v>
      </c>
      <c r="H5" s="188">
        <v>0</v>
      </c>
      <c r="I5" s="111"/>
      <c r="J5" s="111"/>
      <c r="K5" s="111"/>
      <c r="L5" s="111"/>
      <c r="M5" s="111"/>
      <c r="N5" s="208">
        <f t="shared" si="0"/>
        <v>1</v>
      </c>
    </row>
    <row r="6" spans="1:14" ht="166.5">
      <c r="A6" s="136">
        <v>5</v>
      </c>
      <c r="B6" s="132" t="s">
        <v>327</v>
      </c>
      <c r="C6" s="137" t="s">
        <v>259</v>
      </c>
      <c r="D6" s="140">
        <v>1</v>
      </c>
      <c r="E6" s="141">
        <v>1</v>
      </c>
      <c r="F6" s="138" t="s">
        <v>668</v>
      </c>
      <c r="G6" s="79">
        <v>0</v>
      </c>
      <c r="H6" s="188">
        <v>0</v>
      </c>
      <c r="I6" s="111"/>
      <c r="J6" s="111"/>
      <c r="K6" s="111"/>
      <c r="L6" s="111"/>
      <c r="M6" s="111"/>
      <c r="N6" s="208">
        <f t="shared" si="0"/>
        <v>1</v>
      </c>
    </row>
    <row r="7" spans="1:14" ht="166.5">
      <c r="A7" s="136">
        <v>6</v>
      </c>
      <c r="B7" s="132" t="s">
        <v>331</v>
      </c>
      <c r="C7" s="137" t="s">
        <v>260</v>
      </c>
      <c r="D7" s="138">
        <v>1</v>
      </c>
      <c r="E7" s="139">
        <v>1</v>
      </c>
      <c r="F7" s="138" t="s">
        <v>669</v>
      </c>
      <c r="G7" s="79">
        <v>0</v>
      </c>
      <c r="H7" s="188">
        <v>0</v>
      </c>
      <c r="I7" s="111"/>
      <c r="J7" s="111"/>
      <c r="K7" s="111"/>
      <c r="L7" s="111"/>
      <c r="M7" s="111"/>
      <c r="N7" s="208">
        <f t="shared" si="0"/>
        <v>1</v>
      </c>
    </row>
    <row r="8" spans="1:14" ht="166.5">
      <c r="A8" s="136">
        <v>7</v>
      </c>
      <c r="B8" s="132" t="s">
        <v>332</v>
      </c>
      <c r="C8" s="137" t="s">
        <v>261</v>
      </c>
      <c r="D8" s="138">
        <v>1</v>
      </c>
      <c r="E8" s="139">
        <v>1</v>
      </c>
      <c r="F8" s="138" t="s">
        <v>670</v>
      </c>
      <c r="G8" s="79">
        <v>0</v>
      </c>
      <c r="H8" s="188">
        <v>0</v>
      </c>
      <c r="I8" s="111"/>
      <c r="J8" s="111"/>
      <c r="K8" s="111"/>
      <c r="L8" s="111"/>
      <c r="M8" s="111"/>
      <c r="N8" s="208">
        <f t="shared" si="0"/>
        <v>1</v>
      </c>
    </row>
    <row r="9" spans="1:14" ht="220.5">
      <c r="A9" s="142">
        <v>8</v>
      </c>
      <c r="B9" s="213" t="s">
        <v>333</v>
      </c>
      <c r="C9" s="214" t="s">
        <v>300</v>
      </c>
      <c r="D9" s="215">
        <v>1</v>
      </c>
      <c r="E9" s="216">
        <v>1</v>
      </c>
      <c r="F9" s="215" t="s">
        <v>671</v>
      </c>
      <c r="G9" s="113">
        <v>0</v>
      </c>
      <c r="H9" s="113">
        <v>0</v>
      </c>
      <c r="I9" s="217"/>
      <c r="J9" s="217"/>
      <c r="K9" s="217"/>
      <c r="L9" s="217"/>
      <c r="M9" s="217"/>
      <c r="N9" s="209">
        <f t="shared" si="0"/>
        <v>1</v>
      </c>
    </row>
    <row r="10" spans="1:14">
      <c r="A10" s="111"/>
      <c r="B10" s="111"/>
      <c r="C10" s="111"/>
      <c r="D10" s="111">
        <f>SUM(D2:D9)</f>
        <v>8</v>
      </c>
      <c r="E10" s="111"/>
      <c r="F10" s="111"/>
      <c r="G10" s="111"/>
      <c r="H10" s="111"/>
      <c r="I10" s="111"/>
      <c r="J10" s="111"/>
      <c r="K10" s="111"/>
      <c r="L10" s="111"/>
      <c r="M10" s="111"/>
      <c r="N10" s="208">
        <f>SUM(N2:N9)</f>
        <v>6</v>
      </c>
    </row>
  </sheetData>
  <pageMargins left="0.7" right="0.34" top="0.91" bottom="0.76" header="0.32" footer="0.3"/>
  <pageSetup scale="4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P25"/>
  <sheetViews>
    <sheetView topLeftCell="D1" workbookViewId="0">
      <selection activeCell="O1" sqref="O1"/>
    </sheetView>
  </sheetViews>
  <sheetFormatPr defaultRowHeight="15"/>
  <cols>
    <col min="1" max="1" width="6.140625" style="26" bestFit="1" customWidth="1"/>
    <col min="2" max="2" width="21.28515625" style="26" customWidth="1"/>
    <col min="3" max="3" width="26.140625" style="160" bestFit="1" customWidth="1"/>
    <col min="4" max="4" width="7.42578125" style="160" customWidth="1"/>
    <col min="5" max="5" width="8" style="160" bestFit="1" customWidth="1"/>
    <col min="6" max="6" width="21.5703125" style="160" bestFit="1" customWidth="1"/>
    <col min="7" max="7" width="57.42578125" style="161" customWidth="1"/>
    <col min="8" max="8" width="9.140625" style="162"/>
    <col min="9" max="9" width="7.5703125" style="126" customWidth="1"/>
    <col min="10" max="11" width="7.28515625" style="160" customWidth="1"/>
    <col min="12" max="12" width="6.5703125" style="160" customWidth="1"/>
    <col min="13" max="13" width="7.28515625" style="160" customWidth="1"/>
    <col min="14" max="14" width="8.140625" style="160" customWidth="1"/>
    <col min="15" max="15" width="20.85546875" style="26" customWidth="1"/>
    <col min="16" max="250" width="9.140625" style="26"/>
    <col min="251" max="254" width="9.140625" style="31"/>
    <col min="255" max="255" width="8.85546875" style="31" customWidth="1"/>
    <col min="256" max="257" width="26.42578125" style="31" customWidth="1"/>
    <col min="258" max="258" width="21.85546875" style="31" customWidth="1"/>
    <col min="259" max="259" width="13.42578125" style="31" customWidth="1"/>
    <col min="260" max="260" width="14.28515625" style="31" customWidth="1"/>
    <col min="261" max="261" width="11.85546875" style="31" customWidth="1"/>
    <col min="262" max="262" width="33.42578125" style="31" customWidth="1"/>
    <col min="263" max="263" width="7.7109375" style="31" customWidth="1"/>
    <col min="264" max="264" width="36.7109375" style="31" customWidth="1"/>
    <col min="265" max="265" width="33.42578125" style="31" customWidth="1"/>
    <col min="266" max="510" width="9.140625" style="31"/>
    <col min="511" max="511" width="8.85546875" style="31" customWidth="1"/>
    <col min="512" max="513" width="26.42578125" style="31" customWidth="1"/>
    <col min="514" max="514" width="21.85546875" style="31" customWidth="1"/>
    <col min="515" max="515" width="13.42578125" style="31" customWidth="1"/>
    <col min="516" max="516" width="14.28515625" style="31" customWidth="1"/>
    <col min="517" max="517" width="11.85546875" style="31" customWidth="1"/>
    <col min="518" max="518" width="33.42578125" style="31" customWidth="1"/>
    <col min="519" max="519" width="7.7109375" style="31" customWidth="1"/>
    <col min="520" max="520" width="36.7109375" style="31" customWidth="1"/>
    <col min="521" max="521" width="33.42578125" style="31" customWidth="1"/>
    <col min="522" max="766" width="9.140625" style="31"/>
    <col min="767" max="767" width="8.85546875" style="31" customWidth="1"/>
    <col min="768" max="769" width="26.42578125" style="31" customWidth="1"/>
    <col min="770" max="770" width="21.85546875" style="31" customWidth="1"/>
    <col min="771" max="771" width="13.42578125" style="31" customWidth="1"/>
    <col min="772" max="772" width="14.28515625" style="31" customWidth="1"/>
    <col min="773" max="773" width="11.85546875" style="31" customWidth="1"/>
    <col min="774" max="774" width="33.42578125" style="31" customWidth="1"/>
    <col min="775" max="775" width="7.7109375" style="31" customWidth="1"/>
    <col min="776" max="776" width="36.7109375" style="31" customWidth="1"/>
    <col min="777" max="777" width="33.42578125" style="31" customWidth="1"/>
    <col min="778" max="1022" width="9.140625" style="31"/>
    <col min="1023" max="1023" width="8.85546875" style="31" customWidth="1"/>
    <col min="1024" max="1025" width="26.42578125" style="31" customWidth="1"/>
    <col min="1026" max="1026" width="21.85546875" style="31" customWidth="1"/>
    <col min="1027" max="1027" width="13.42578125" style="31" customWidth="1"/>
    <col min="1028" max="1028" width="14.28515625" style="31" customWidth="1"/>
    <col min="1029" max="1029" width="11.85546875" style="31" customWidth="1"/>
    <col min="1030" max="1030" width="33.42578125" style="31" customWidth="1"/>
    <col min="1031" max="1031" width="7.7109375" style="31" customWidth="1"/>
    <col min="1032" max="1032" width="36.7109375" style="31" customWidth="1"/>
    <col min="1033" max="1033" width="33.42578125" style="31" customWidth="1"/>
    <col min="1034" max="1278" width="9.140625" style="31"/>
    <col min="1279" max="1279" width="8.85546875" style="31" customWidth="1"/>
    <col min="1280" max="1281" width="26.42578125" style="31" customWidth="1"/>
    <col min="1282" max="1282" width="21.85546875" style="31" customWidth="1"/>
    <col min="1283" max="1283" width="13.42578125" style="31" customWidth="1"/>
    <col min="1284" max="1284" width="14.28515625" style="31" customWidth="1"/>
    <col min="1285" max="1285" width="11.85546875" style="31" customWidth="1"/>
    <col min="1286" max="1286" width="33.42578125" style="31" customWidth="1"/>
    <col min="1287" max="1287" width="7.7109375" style="31" customWidth="1"/>
    <col min="1288" max="1288" width="36.7109375" style="31" customWidth="1"/>
    <col min="1289" max="1289" width="33.42578125" style="31" customWidth="1"/>
    <col min="1290" max="1534" width="9.140625" style="31"/>
    <col min="1535" max="1535" width="8.85546875" style="31" customWidth="1"/>
    <col min="1536" max="1537" width="26.42578125" style="31" customWidth="1"/>
    <col min="1538" max="1538" width="21.85546875" style="31" customWidth="1"/>
    <col min="1539" max="1539" width="13.42578125" style="31" customWidth="1"/>
    <col min="1540" max="1540" width="14.28515625" style="31" customWidth="1"/>
    <col min="1541" max="1541" width="11.85546875" style="31" customWidth="1"/>
    <col min="1542" max="1542" width="33.42578125" style="31" customWidth="1"/>
    <col min="1543" max="1543" width="7.7109375" style="31" customWidth="1"/>
    <col min="1544" max="1544" width="36.7109375" style="31" customWidth="1"/>
    <col min="1545" max="1545" width="33.42578125" style="31" customWidth="1"/>
    <col min="1546" max="1790" width="9.140625" style="31"/>
    <col min="1791" max="1791" width="8.85546875" style="31" customWidth="1"/>
    <col min="1792" max="1793" width="26.42578125" style="31" customWidth="1"/>
    <col min="1794" max="1794" width="21.85546875" style="31" customWidth="1"/>
    <col min="1795" max="1795" width="13.42578125" style="31" customWidth="1"/>
    <col min="1796" max="1796" width="14.28515625" style="31" customWidth="1"/>
    <col min="1797" max="1797" width="11.85546875" style="31" customWidth="1"/>
    <col min="1798" max="1798" width="33.42578125" style="31" customWidth="1"/>
    <col min="1799" max="1799" width="7.7109375" style="31" customWidth="1"/>
    <col min="1800" max="1800" width="36.7109375" style="31" customWidth="1"/>
    <col min="1801" max="1801" width="33.42578125" style="31" customWidth="1"/>
    <col min="1802" max="2046" width="9.140625" style="31"/>
    <col min="2047" max="2047" width="8.85546875" style="31" customWidth="1"/>
    <col min="2048" max="2049" width="26.42578125" style="31" customWidth="1"/>
    <col min="2050" max="2050" width="21.85546875" style="31" customWidth="1"/>
    <col min="2051" max="2051" width="13.42578125" style="31" customWidth="1"/>
    <col min="2052" max="2052" width="14.28515625" style="31" customWidth="1"/>
    <col min="2053" max="2053" width="11.85546875" style="31" customWidth="1"/>
    <col min="2054" max="2054" width="33.42578125" style="31" customWidth="1"/>
    <col min="2055" max="2055" width="7.7109375" style="31" customWidth="1"/>
    <col min="2056" max="2056" width="36.7109375" style="31" customWidth="1"/>
    <col min="2057" max="2057" width="33.42578125" style="31" customWidth="1"/>
    <col min="2058" max="2302" width="9.140625" style="31"/>
    <col min="2303" max="2303" width="8.85546875" style="31" customWidth="1"/>
    <col min="2304" max="2305" width="26.42578125" style="31" customWidth="1"/>
    <col min="2306" max="2306" width="21.85546875" style="31" customWidth="1"/>
    <col min="2307" max="2307" width="13.42578125" style="31" customWidth="1"/>
    <col min="2308" max="2308" width="14.28515625" style="31" customWidth="1"/>
    <col min="2309" max="2309" width="11.85546875" style="31" customWidth="1"/>
    <col min="2310" max="2310" width="33.42578125" style="31" customWidth="1"/>
    <col min="2311" max="2311" width="7.7109375" style="31" customWidth="1"/>
    <col min="2312" max="2312" width="36.7109375" style="31" customWidth="1"/>
    <col min="2313" max="2313" width="33.42578125" style="31" customWidth="1"/>
    <col min="2314" max="2558" width="9.140625" style="31"/>
    <col min="2559" max="2559" width="8.85546875" style="31" customWidth="1"/>
    <col min="2560" max="2561" width="26.42578125" style="31" customWidth="1"/>
    <col min="2562" max="2562" width="21.85546875" style="31" customWidth="1"/>
    <col min="2563" max="2563" width="13.42578125" style="31" customWidth="1"/>
    <col min="2564" max="2564" width="14.28515625" style="31" customWidth="1"/>
    <col min="2565" max="2565" width="11.85546875" style="31" customWidth="1"/>
    <col min="2566" max="2566" width="33.42578125" style="31" customWidth="1"/>
    <col min="2567" max="2567" width="7.7109375" style="31" customWidth="1"/>
    <col min="2568" max="2568" width="36.7109375" style="31" customWidth="1"/>
    <col min="2569" max="2569" width="33.42578125" style="31" customWidth="1"/>
    <col min="2570" max="2814" width="9.140625" style="31"/>
    <col min="2815" max="2815" width="8.85546875" style="31" customWidth="1"/>
    <col min="2816" max="2817" width="26.42578125" style="31" customWidth="1"/>
    <col min="2818" max="2818" width="21.85546875" style="31" customWidth="1"/>
    <col min="2819" max="2819" width="13.42578125" style="31" customWidth="1"/>
    <col min="2820" max="2820" width="14.28515625" style="31" customWidth="1"/>
    <col min="2821" max="2821" width="11.85546875" style="31" customWidth="1"/>
    <col min="2822" max="2822" width="33.42578125" style="31" customWidth="1"/>
    <col min="2823" max="2823" width="7.7109375" style="31" customWidth="1"/>
    <col min="2824" max="2824" width="36.7109375" style="31" customWidth="1"/>
    <col min="2825" max="2825" width="33.42578125" style="31" customWidth="1"/>
    <col min="2826" max="3070" width="9.140625" style="31"/>
    <col min="3071" max="3071" width="8.85546875" style="31" customWidth="1"/>
    <col min="3072" max="3073" width="26.42578125" style="31" customWidth="1"/>
    <col min="3074" max="3074" width="21.85546875" style="31" customWidth="1"/>
    <col min="3075" max="3075" width="13.42578125" style="31" customWidth="1"/>
    <col min="3076" max="3076" width="14.28515625" style="31" customWidth="1"/>
    <col min="3077" max="3077" width="11.85546875" style="31" customWidth="1"/>
    <col min="3078" max="3078" width="33.42578125" style="31" customWidth="1"/>
    <col min="3079" max="3079" width="7.7109375" style="31" customWidth="1"/>
    <col min="3080" max="3080" width="36.7109375" style="31" customWidth="1"/>
    <col min="3081" max="3081" width="33.42578125" style="31" customWidth="1"/>
    <col min="3082" max="3326" width="9.140625" style="31"/>
    <col min="3327" max="3327" width="8.85546875" style="31" customWidth="1"/>
    <col min="3328" max="3329" width="26.42578125" style="31" customWidth="1"/>
    <col min="3330" max="3330" width="21.85546875" style="31" customWidth="1"/>
    <col min="3331" max="3331" width="13.42578125" style="31" customWidth="1"/>
    <col min="3332" max="3332" width="14.28515625" style="31" customWidth="1"/>
    <col min="3333" max="3333" width="11.85546875" style="31" customWidth="1"/>
    <col min="3334" max="3334" width="33.42578125" style="31" customWidth="1"/>
    <col min="3335" max="3335" width="7.7109375" style="31" customWidth="1"/>
    <col min="3336" max="3336" width="36.7109375" style="31" customWidth="1"/>
    <col min="3337" max="3337" width="33.42578125" style="31" customWidth="1"/>
    <col min="3338" max="3582" width="9.140625" style="31"/>
    <col min="3583" max="3583" width="8.85546875" style="31" customWidth="1"/>
    <col min="3584" max="3585" width="26.42578125" style="31" customWidth="1"/>
    <col min="3586" max="3586" width="21.85546875" style="31" customWidth="1"/>
    <col min="3587" max="3587" width="13.42578125" style="31" customWidth="1"/>
    <col min="3588" max="3588" width="14.28515625" style="31" customWidth="1"/>
    <col min="3589" max="3589" width="11.85546875" style="31" customWidth="1"/>
    <col min="3590" max="3590" width="33.42578125" style="31" customWidth="1"/>
    <col min="3591" max="3591" width="7.7109375" style="31" customWidth="1"/>
    <col min="3592" max="3592" width="36.7109375" style="31" customWidth="1"/>
    <col min="3593" max="3593" width="33.42578125" style="31" customWidth="1"/>
    <col min="3594" max="3838" width="9.140625" style="31"/>
    <col min="3839" max="3839" width="8.85546875" style="31" customWidth="1"/>
    <col min="3840" max="3841" width="26.42578125" style="31" customWidth="1"/>
    <col min="3842" max="3842" width="21.85546875" style="31" customWidth="1"/>
    <col min="3843" max="3843" width="13.42578125" style="31" customWidth="1"/>
    <col min="3844" max="3844" width="14.28515625" style="31" customWidth="1"/>
    <col min="3845" max="3845" width="11.85546875" style="31" customWidth="1"/>
    <col min="3846" max="3846" width="33.42578125" style="31" customWidth="1"/>
    <col min="3847" max="3847" width="7.7109375" style="31" customWidth="1"/>
    <col min="3848" max="3848" width="36.7109375" style="31" customWidth="1"/>
    <col min="3849" max="3849" width="33.42578125" style="31" customWidth="1"/>
    <col min="3850" max="4094" width="9.140625" style="31"/>
    <col min="4095" max="4095" width="8.85546875" style="31" customWidth="1"/>
    <col min="4096" max="4097" width="26.42578125" style="31" customWidth="1"/>
    <col min="4098" max="4098" width="21.85546875" style="31" customWidth="1"/>
    <col min="4099" max="4099" width="13.42578125" style="31" customWidth="1"/>
    <col min="4100" max="4100" width="14.28515625" style="31" customWidth="1"/>
    <col min="4101" max="4101" width="11.85546875" style="31" customWidth="1"/>
    <col min="4102" max="4102" width="33.42578125" style="31" customWidth="1"/>
    <col min="4103" max="4103" width="7.7109375" style="31" customWidth="1"/>
    <col min="4104" max="4104" width="36.7109375" style="31" customWidth="1"/>
    <col min="4105" max="4105" width="33.42578125" style="31" customWidth="1"/>
    <col min="4106" max="4350" width="9.140625" style="31"/>
    <col min="4351" max="4351" width="8.85546875" style="31" customWidth="1"/>
    <col min="4352" max="4353" width="26.42578125" style="31" customWidth="1"/>
    <col min="4354" max="4354" width="21.85546875" style="31" customWidth="1"/>
    <col min="4355" max="4355" width="13.42578125" style="31" customWidth="1"/>
    <col min="4356" max="4356" width="14.28515625" style="31" customWidth="1"/>
    <col min="4357" max="4357" width="11.85546875" style="31" customWidth="1"/>
    <col min="4358" max="4358" width="33.42578125" style="31" customWidth="1"/>
    <col min="4359" max="4359" width="7.7109375" style="31" customWidth="1"/>
    <col min="4360" max="4360" width="36.7109375" style="31" customWidth="1"/>
    <col min="4361" max="4361" width="33.42578125" style="31" customWidth="1"/>
    <col min="4362" max="4606" width="9.140625" style="31"/>
    <col min="4607" max="4607" width="8.85546875" style="31" customWidth="1"/>
    <col min="4608" max="4609" width="26.42578125" style="31" customWidth="1"/>
    <col min="4610" max="4610" width="21.85546875" style="31" customWidth="1"/>
    <col min="4611" max="4611" width="13.42578125" style="31" customWidth="1"/>
    <col min="4612" max="4612" width="14.28515625" style="31" customWidth="1"/>
    <col min="4613" max="4613" width="11.85546875" style="31" customWidth="1"/>
    <col min="4614" max="4614" width="33.42578125" style="31" customWidth="1"/>
    <col min="4615" max="4615" width="7.7109375" style="31" customWidth="1"/>
    <col min="4616" max="4616" width="36.7109375" style="31" customWidth="1"/>
    <col min="4617" max="4617" width="33.42578125" style="31" customWidth="1"/>
    <col min="4618" max="4862" width="9.140625" style="31"/>
    <col min="4863" max="4863" width="8.85546875" style="31" customWidth="1"/>
    <col min="4864" max="4865" width="26.42578125" style="31" customWidth="1"/>
    <col min="4866" max="4866" width="21.85546875" style="31" customWidth="1"/>
    <col min="4867" max="4867" width="13.42578125" style="31" customWidth="1"/>
    <col min="4868" max="4868" width="14.28515625" style="31" customWidth="1"/>
    <col min="4869" max="4869" width="11.85546875" style="31" customWidth="1"/>
    <col min="4870" max="4870" width="33.42578125" style="31" customWidth="1"/>
    <col min="4871" max="4871" width="7.7109375" style="31" customWidth="1"/>
    <col min="4872" max="4872" width="36.7109375" style="31" customWidth="1"/>
    <col min="4873" max="4873" width="33.42578125" style="31" customWidth="1"/>
    <col min="4874" max="5118" width="9.140625" style="31"/>
    <col min="5119" max="5119" width="8.85546875" style="31" customWidth="1"/>
    <col min="5120" max="5121" width="26.42578125" style="31" customWidth="1"/>
    <col min="5122" max="5122" width="21.85546875" style="31" customWidth="1"/>
    <col min="5123" max="5123" width="13.42578125" style="31" customWidth="1"/>
    <col min="5124" max="5124" width="14.28515625" style="31" customWidth="1"/>
    <col min="5125" max="5125" width="11.85546875" style="31" customWidth="1"/>
    <col min="5126" max="5126" width="33.42578125" style="31" customWidth="1"/>
    <col min="5127" max="5127" width="7.7109375" style="31" customWidth="1"/>
    <col min="5128" max="5128" width="36.7109375" style="31" customWidth="1"/>
    <col min="5129" max="5129" width="33.42578125" style="31" customWidth="1"/>
    <col min="5130" max="5374" width="9.140625" style="31"/>
    <col min="5375" max="5375" width="8.85546875" style="31" customWidth="1"/>
    <col min="5376" max="5377" width="26.42578125" style="31" customWidth="1"/>
    <col min="5378" max="5378" width="21.85546875" style="31" customWidth="1"/>
    <col min="5379" max="5379" width="13.42578125" style="31" customWidth="1"/>
    <col min="5380" max="5380" width="14.28515625" style="31" customWidth="1"/>
    <col min="5381" max="5381" width="11.85546875" style="31" customWidth="1"/>
    <col min="5382" max="5382" width="33.42578125" style="31" customWidth="1"/>
    <col min="5383" max="5383" width="7.7109375" style="31" customWidth="1"/>
    <col min="5384" max="5384" width="36.7109375" style="31" customWidth="1"/>
    <col min="5385" max="5385" width="33.42578125" style="31" customWidth="1"/>
    <col min="5386" max="5630" width="9.140625" style="31"/>
    <col min="5631" max="5631" width="8.85546875" style="31" customWidth="1"/>
    <col min="5632" max="5633" width="26.42578125" style="31" customWidth="1"/>
    <col min="5634" max="5634" width="21.85546875" style="31" customWidth="1"/>
    <col min="5635" max="5635" width="13.42578125" style="31" customWidth="1"/>
    <col min="5636" max="5636" width="14.28515625" style="31" customWidth="1"/>
    <col min="5637" max="5637" width="11.85546875" style="31" customWidth="1"/>
    <col min="5638" max="5638" width="33.42578125" style="31" customWidth="1"/>
    <col min="5639" max="5639" width="7.7109375" style="31" customWidth="1"/>
    <col min="5640" max="5640" width="36.7109375" style="31" customWidth="1"/>
    <col min="5641" max="5641" width="33.42578125" style="31" customWidth="1"/>
    <col min="5642" max="5886" width="9.140625" style="31"/>
    <col min="5887" max="5887" width="8.85546875" style="31" customWidth="1"/>
    <col min="5888" max="5889" width="26.42578125" style="31" customWidth="1"/>
    <col min="5890" max="5890" width="21.85546875" style="31" customWidth="1"/>
    <col min="5891" max="5891" width="13.42578125" style="31" customWidth="1"/>
    <col min="5892" max="5892" width="14.28515625" style="31" customWidth="1"/>
    <col min="5893" max="5893" width="11.85546875" style="31" customWidth="1"/>
    <col min="5894" max="5894" width="33.42578125" style="31" customWidth="1"/>
    <col min="5895" max="5895" width="7.7109375" style="31" customWidth="1"/>
    <col min="5896" max="5896" width="36.7109375" style="31" customWidth="1"/>
    <col min="5897" max="5897" width="33.42578125" style="31" customWidth="1"/>
    <col min="5898" max="6142" width="9.140625" style="31"/>
    <col min="6143" max="6143" width="8.85546875" style="31" customWidth="1"/>
    <col min="6144" max="6145" width="26.42578125" style="31" customWidth="1"/>
    <col min="6146" max="6146" width="21.85546875" style="31" customWidth="1"/>
    <col min="6147" max="6147" width="13.42578125" style="31" customWidth="1"/>
    <col min="6148" max="6148" width="14.28515625" style="31" customWidth="1"/>
    <col min="6149" max="6149" width="11.85546875" style="31" customWidth="1"/>
    <col min="6150" max="6150" width="33.42578125" style="31" customWidth="1"/>
    <col min="6151" max="6151" width="7.7109375" style="31" customWidth="1"/>
    <col min="6152" max="6152" width="36.7109375" style="31" customWidth="1"/>
    <col min="6153" max="6153" width="33.42578125" style="31" customWidth="1"/>
    <col min="6154" max="6398" width="9.140625" style="31"/>
    <col min="6399" max="6399" width="8.85546875" style="31" customWidth="1"/>
    <col min="6400" max="6401" width="26.42578125" style="31" customWidth="1"/>
    <col min="6402" max="6402" width="21.85546875" style="31" customWidth="1"/>
    <col min="6403" max="6403" width="13.42578125" style="31" customWidth="1"/>
    <col min="6404" max="6404" width="14.28515625" style="31" customWidth="1"/>
    <col min="6405" max="6405" width="11.85546875" style="31" customWidth="1"/>
    <col min="6406" max="6406" width="33.42578125" style="31" customWidth="1"/>
    <col min="6407" max="6407" width="7.7109375" style="31" customWidth="1"/>
    <col min="6408" max="6408" width="36.7109375" style="31" customWidth="1"/>
    <col min="6409" max="6409" width="33.42578125" style="31" customWidth="1"/>
    <col min="6410" max="6654" width="9.140625" style="31"/>
    <col min="6655" max="6655" width="8.85546875" style="31" customWidth="1"/>
    <col min="6656" max="6657" width="26.42578125" style="31" customWidth="1"/>
    <col min="6658" max="6658" width="21.85546875" style="31" customWidth="1"/>
    <col min="6659" max="6659" width="13.42578125" style="31" customWidth="1"/>
    <col min="6660" max="6660" width="14.28515625" style="31" customWidth="1"/>
    <col min="6661" max="6661" width="11.85546875" style="31" customWidth="1"/>
    <col min="6662" max="6662" width="33.42578125" style="31" customWidth="1"/>
    <col min="6663" max="6663" width="7.7109375" style="31" customWidth="1"/>
    <col min="6664" max="6664" width="36.7109375" style="31" customWidth="1"/>
    <col min="6665" max="6665" width="33.42578125" style="31" customWidth="1"/>
    <col min="6666" max="6910" width="9.140625" style="31"/>
    <col min="6911" max="6911" width="8.85546875" style="31" customWidth="1"/>
    <col min="6912" max="6913" width="26.42578125" style="31" customWidth="1"/>
    <col min="6914" max="6914" width="21.85546875" style="31" customWidth="1"/>
    <col min="6915" max="6915" width="13.42578125" style="31" customWidth="1"/>
    <col min="6916" max="6916" width="14.28515625" style="31" customWidth="1"/>
    <col min="6917" max="6917" width="11.85546875" style="31" customWidth="1"/>
    <col min="6918" max="6918" width="33.42578125" style="31" customWidth="1"/>
    <col min="6919" max="6919" width="7.7109375" style="31" customWidth="1"/>
    <col min="6920" max="6920" width="36.7109375" style="31" customWidth="1"/>
    <col min="6921" max="6921" width="33.42578125" style="31" customWidth="1"/>
    <col min="6922" max="7166" width="9.140625" style="31"/>
    <col min="7167" max="7167" width="8.85546875" style="31" customWidth="1"/>
    <col min="7168" max="7169" width="26.42578125" style="31" customWidth="1"/>
    <col min="7170" max="7170" width="21.85546875" style="31" customWidth="1"/>
    <col min="7171" max="7171" width="13.42578125" style="31" customWidth="1"/>
    <col min="7172" max="7172" width="14.28515625" style="31" customWidth="1"/>
    <col min="7173" max="7173" width="11.85546875" style="31" customWidth="1"/>
    <col min="7174" max="7174" width="33.42578125" style="31" customWidth="1"/>
    <col min="7175" max="7175" width="7.7109375" style="31" customWidth="1"/>
    <col min="7176" max="7176" width="36.7109375" style="31" customWidth="1"/>
    <col min="7177" max="7177" width="33.42578125" style="31" customWidth="1"/>
    <col min="7178" max="7422" width="9.140625" style="31"/>
    <col min="7423" max="7423" width="8.85546875" style="31" customWidth="1"/>
    <col min="7424" max="7425" width="26.42578125" style="31" customWidth="1"/>
    <col min="7426" max="7426" width="21.85546875" style="31" customWidth="1"/>
    <col min="7427" max="7427" width="13.42578125" style="31" customWidth="1"/>
    <col min="7428" max="7428" width="14.28515625" style="31" customWidth="1"/>
    <col min="7429" max="7429" width="11.85546875" style="31" customWidth="1"/>
    <col min="7430" max="7430" width="33.42578125" style="31" customWidth="1"/>
    <col min="7431" max="7431" width="7.7109375" style="31" customWidth="1"/>
    <col min="7432" max="7432" width="36.7109375" style="31" customWidth="1"/>
    <col min="7433" max="7433" width="33.42578125" style="31" customWidth="1"/>
    <col min="7434" max="7678" width="9.140625" style="31"/>
    <col min="7679" max="7679" width="8.85546875" style="31" customWidth="1"/>
    <col min="7680" max="7681" width="26.42578125" style="31" customWidth="1"/>
    <col min="7682" max="7682" width="21.85546875" style="31" customWidth="1"/>
    <col min="7683" max="7683" width="13.42578125" style="31" customWidth="1"/>
    <col min="7684" max="7684" width="14.28515625" style="31" customWidth="1"/>
    <col min="7685" max="7685" width="11.85546875" style="31" customWidth="1"/>
    <col min="7686" max="7686" width="33.42578125" style="31" customWidth="1"/>
    <col min="7687" max="7687" width="7.7109375" style="31" customWidth="1"/>
    <col min="7688" max="7688" width="36.7109375" style="31" customWidth="1"/>
    <col min="7689" max="7689" width="33.42578125" style="31" customWidth="1"/>
    <col min="7690" max="7934" width="9.140625" style="31"/>
    <col min="7935" max="7935" width="8.85546875" style="31" customWidth="1"/>
    <col min="7936" max="7937" width="26.42578125" style="31" customWidth="1"/>
    <col min="7938" max="7938" width="21.85546875" style="31" customWidth="1"/>
    <col min="7939" max="7939" width="13.42578125" style="31" customWidth="1"/>
    <col min="7940" max="7940" width="14.28515625" style="31" customWidth="1"/>
    <col min="7941" max="7941" width="11.85546875" style="31" customWidth="1"/>
    <col min="7942" max="7942" width="33.42578125" style="31" customWidth="1"/>
    <col min="7943" max="7943" width="7.7109375" style="31" customWidth="1"/>
    <col min="7944" max="7944" width="36.7109375" style="31" customWidth="1"/>
    <col min="7945" max="7945" width="33.42578125" style="31" customWidth="1"/>
    <col min="7946" max="8190" width="9.140625" style="31"/>
    <col min="8191" max="8191" width="8.85546875" style="31" customWidth="1"/>
    <col min="8192" max="8193" width="26.42578125" style="31" customWidth="1"/>
    <col min="8194" max="8194" width="21.85546875" style="31" customWidth="1"/>
    <col min="8195" max="8195" width="13.42578125" style="31" customWidth="1"/>
    <col min="8196" max="8196" width="14.28515625" style="31" customWidth="1"/>
    <col min="8197" max="8197" width="11.85546875" style="31" customWidth="1"/>
    <col min="8198" max="8198" width="33.42578125" style="31" customWidth="1"/>
    <col min="8199" max="8199" width="7.7109375" style="31" customWidth="1"/>
    <col min="8200" max="8200" width="36.7109375" style="31" customWidth="1"/>
    <col min="8201" max="8201" width="33.42578125" style="31" customWidth="1"/>
    <col min="8202" max="8446" width="9.140625" style="31"/>
    <col min="8447" max="8447" width="8.85546875" style="31" customWidth="1"/>
    <col min="8448" max="8449" width="26.42578125" style="31" customWidth="1"/>
    <col min="8450" max="8450" width="21.85546875" style="31" customWidth="1"/>
    <col min="8451" max="8451" width="13.42578125" style="31" customWidth="1"/>
    <col min="8452" max="8452" width="14.28515625" style="31" customWidth="1"/>
    <col min="8453" max="8453" width="11.85546875" style="31" customWidth="1"/>
    <col min="8454" max="8454" width="33.42578125" style="31" customWidth="1"/>
    <col min="8455" max="8455" width="7.7109375" style="31" customWidth="1"/>
    <col min="8456" max="8456" width="36.7109375" style="31" customWidth="1"/>
    <col min="8457" max="8457" width="33.42578125" style="31" customWidth="1"/>
    <col min="8458" max="8702" width="9.140625" style="31"/>
    <col min="8703" max="8703" width="8.85546875" style="31" customWidth="1"/>
    <col min="8704" max="8705" width="26.42578125" style="31" customWidth="1"/>
    <col min="8706" max="8706" width="21.85546875" style="31" customWidth="1"/>
    <col min="8707" max="8707" width="13.42578125" style="31" customWidth="1"/>
    <col min="8708" max="8708" width="14.28515625" style="31" customWidth="1"/>
    <col min="8709" max="8709" width="11.85546875" style="31" customWidth="1"/>
    <col min="8710" max="8710" width="33.42578125" style="31" customWidth="1"/>
    <col min="8711" max="8711" width="7.7109375" style="31" customWidth="1"/>
    <col min="8712" max="8712" width="36.7109375" style="31" customWidth="1"/>
    <col min="8713" max="8713" width="33.42578125" style="31" customWidth="1"/>
    <col min="8714" max="8958" width="9.140625" style="31"/>
    <col min="8959" max="8959" width="8.85546875" style="31" customWidth="1"/>
    <col min="8960" max="8961" width="26.42578125" style="31" customWidth="1"/>
    <col min="8962" max="8962" width="21.85546875" style="31" customWidth="1"/>
    <col min="8963" max="8963" width="13.42578125" style="31" customWidth="1"/>
    <col min="8964" max="8964" width="14.28515625" style="31" customWidth="1"/>
    <col min="8965" max="8965" width="11.85546875" style="31" customWidth="1"/>
    <col min="8966" max="8966" width="33.42578125" style="31" customWidth="1"/>
    <col min="8967" max="8967" width="7.7109375" style="31" customWidth="1"/>
    <col min="8968" max="8968" width="36.7109375" style="31" customWidth="1"/>
    <col min="8969" max="8969" width="33.42578125" style="31" customWidth="1"/>
    <col min="8970" max="9214" width="9.140625" style="31"/>
    <col min="9215" max="9215" width="8.85546875" style="31" customWidth="1"/>
    <col min="9216" max="9217" width="26.42578125" style="31" customWidth="1"/>
    <col min="9218" max="9218" width="21.85546875" style="31" customWidth="1"/>
    <col min="9219" max="9219" width="13.42578125" style="31" customWidth="1"/>
    <col min="9220" max="9220" width="14.28515625" style="31" customWidth="1"/>
    <col min="9221" max="9221" width="11.85546875" style="31" customWidth="1"/>
    <col min="9222" max="9222" width="33.42578125" style="31" customWidth="1"/>
    <col min="9223" max="9223" width="7.7109375" style="31" customWidth="1"/>
    <col min="9224" max="9224" width="36.7109375" style="31" customWidth="1"/>
    <col min="9225" max="9225" width="33.42578125" style="31" customWidth="1"/>
    <col min="9226" max="9470" width="9.140625" style="31"/>
    <col min="9471" max="9471" width="8.85546875" style="31" customWidth="1"/>
    <col min="9472" max="9473" width="26.42578125" style="31" customWidth="1"/>
    <col min="9474" max="9474" width="21.85546875" style="31" customWidth="1"/>
    <col min="9475" max="9475" width="13.42578125" style="31" customWidth="1"/>
    <col min="9476" max="9476" width="14.28515625" style="31" customWidth="1"/>
    <col min="9477" max="9477" width="11.85546875" style="31" customWidth="1"/>
    <col min="9478" max="9478" width="33.42578125" style="31" customWidth="1"/>
    <col min="9479" max="9479" width="7.7109375" style="31" customWidth="1"/>
    <col min="9480" max="9480" width="36.7109375" style="31" customWidth="1"/>
    <col min="9481" max="9481" width="33.42578125" style="31" customWidth="1"/>
    <col min="9482" max="9726" width="9.140625" style="31"/>
    <col min="9727" max="9727" width="8.85546875" style="31" customWidth="1"/>
    <col min="9728" max="9729" width="26.42578125" style="31" customWidth="1"/>
    <col min="9730" max="9730" width="21.85546875" style="31" customWidth="1"/>
    <col min="9731" max="9731" width="13.42578125" style="31" customWidth="1"/>
    <col min="9732" max="9732" width="14.28515625" style="31" customWidth="1"/>
    <col min="9733" max="9733" width="11.85546875" style="31" customWidth="1"/>
    <col min="9734" max="9734" width="33.42578125" style="31" customWidth="1"/>
    <col min="9735" max="9735" width="7.7109375" style="31" customWidth="1"/>
    <col min="9736" max="9736" width="36.7109375" style="31" customWidth="1"/>
    <col min="9737" max="9737" width="33.42578125" style="31" customWidth="1"/>
    <col min="9738" max="9982" width="9.140625" style="31"/>
    <col min="9983" max="9983" width="8.85546875" style="31" customWidth="1"/>
    <col min="9984" max="9985" width="26.42578125" style="31" customWidth="1"/>
    <col min="9986" max="9986" width="21.85546875" style="31" customWidth="1"/>
    <col min="9987" max="9987" width="13.42578125" style="31" customWidth="1"/>
    <col min="9988" max="9988" width="14.28515625" style="31" customWidth="1"/>
    <col min="9989" max="9989" width="11.85546875" style="31" customWidth="1"/>
    <col min="9990" max="9990" width="33.42578125" style="31" customWidth="1"/>
    <col min="9991" max="9991" width="7.7109375" style="31" customWidth="1"/>
    <col min="9992" max="9992" width="36.7109375" style="31" customWidth="1"/>
    <col min="9993" max="9993" width="33.42578125" style="31" customWidth="1"/>
    <col min="9994" max="10238" width="9.140625" style="31"/>
    <col min="10239" max="10239" width="8.85546875" style="31" customWidth="1"/>
    <col min="10240" max="10241" width="26.42578125" style="31" customWidth="1"/>
    <col min="10242" max="10242" width="21.85546875" style="31" customWidth="1"/>
    <col min="10243" max="10243" width="13.42578125" style="31" customWidth="1"/>
    <col min="10244" max="10244" width="14.28515625" style="31" customWidth="1"/>
    <col min="10245" max="10245" width="11.85546875" style="31" customWidth="1"/>
    <col min="10246" max="10246" width="33.42578125" style="31" customWidth="1"/>
    <col min="10247" max="10247" width="7.7109375" style="31" customWidth="1"/>
    <col min="10248" max="10248" width="36.7109375" style="31" customWidth="1"/>
    <col min="10249" max="10249" width="33.42578125" style="31" customWidth="1"/>
    <col min="10250" max="10494" width="9.140625" style="31"/>
    <col min="10495" max="10495" width="8.85546875" style="31" customWidth="1"/>
    <col min="10496" max="10497" width="26.42578125" style="31" customWidth="1"/>
    <col min="10498" max="10498" width="21.85546875" style="31" customWidth="1"/>
    <col min="10499" max="10499" width="13.42578125" style="31" customWidth="1"/>
    <col min="10500" max="10500" width="14.28515625" style="31" customWidth="1"/>
    <col min="10501" max="10501" width="11.85546875" style="31" customWidth="1"/>
    <col min="10502" max="10502" width="33.42578125" style="31" customWidth="1"/>
    <col min="10503" max="10503" width="7.7109375" style="31" customWidth="1"/>
    <col min="10504" max="10504" width="36.7109375" style="31" customWidth="1"/>
    <col min="10505" max="10505" width="33.42578125" style="31" customWidth="1"/>
    <col min="10506" max="10750" width="9.140625" style="31"/>
    <col min="10751" max="10751" width="8.85546875" style="31" customWidth="1"/>
    <col min="10752" max="10753" width="26.42578125" style="31" customWidth="1"/>
    <col min="10754" max="10754" width="21.85546875" style="31" customWidth="1"/>
    <col min="10755" max="10755" width="13.42578125" style="31" customWidth="1"/>
    <col min="10756" max="10756" width="14.28515625" style="31" customWidth="1"/>
    <col min="10757" max="10757" width="11.85546875" style="31" customWidth="1"/>
    <col min="10758" max="10758" width="33.42578125" style="31" customWidth="1"/>
    <col min="10759" max="10759" width="7.7109375" style="31" customWidth="1"/>
    <col min="10760" max="10760" width="36.7109375" style="31" customWidth="1"/>
    <col min="10761" max="10761" width="33.42578125" style="31" customWidth="1"/>
    <col min="10762" max="11006" width="9.140625" style="31"/>
    <col min="11007" max="11007" width="8.85546875" style="31" customWidth="1"/>
    <col min="11008" max="11009" width="26.42578125" style="31" customWidth="1"/>
    <col min="11010" max="11010" width="21.85546875" style="31" customWidth="1"/>
    <col min="11011" max="11011" width="13.42578125" style="31" customWidth="1"/>
    <col min="11012" max="11012" width="14.28515625" style="31" customWidth="1"/>
    <col min="11013" max="11013" width="11.85546875" style="31" customWidth="1"/>
    <col min="11014" max="11014" width="33.42578125" style="31" customWidth="1"/>
    <col min="11015" max="11015" width="7.7109375" style="31" customWidth="1"/>
    <col min="11016" max="11016" width="36.7109375" style="31" customWidth="1"/>
    <col min="11017" max="11017" width="33.42578125" style="31" customWidth="1"/>
    <col min="11018" max="11262" width="9.140625" style="31"/>
    <col min="11263" max="11263" width="8.85546875" style="31" customWidth="1"/>
    <col min="11264" max="11265" width="26.42578125" style="31" customWidth="1"/>
    <col min="11266" max="11266" width="21.85546875" style="31" customWidth="1"/>
    <col min="11267" max="11267" width="13.42578125" style="31" customWidth="1"/>
    <col min="11268" max="11268" width="14.28515625" style="31" customWidth="1"/>
    <col min="11269" max="11269" width="11.85546875" style="31" customWidth="1"/>
    <col min="11270" max="11270" width="33.42578125" style="31" customWidth="1"/>
    <col min="11271" max="11271" width="7.7109375" style="31" customWidth="1"/>
    <col min="11272" max="11272" width="36.7109375" style="31" customWidth="1"/>
    <col min="11273" max="11273" width="33.42578125" style="31" customWidth="1"/>
    <col min="11274" max="11518" width="9.140625" style="31"/>
    <col min="11519" max="11519" width="8.85546875" style="31" customWidth="1"/>
    <col min="11520" max="11521" width="26.42578125" style="31" customWidth="1"/>
    <col min="11522" max="11522" width="21.85546875" style="31" customWidth="1"/>
    <col min="11523" max="11523" width="13.42578125" style="31" customWidth="1"/>
    <col min="11524" max="11524" width="14.28515625" style="31" customWidth="1"/>
    <col min="11525" max="11525" width="11.85546875" style="31" customWidth="1"/>
    <col min="11526" max="11526" width="33.42578125" style="31" customWidth="1"/>
    <col min="11527" max="11527" width="7.7109375" style="31" customWidth="1"/>
    <col min="11528" max="11528" width="36.7109375" style="31" customWidth="1"/>
    <col min="11529" max="11529" width="33.42578125" style="31" customWidth="1"/>
    <col min="11530" max="11774" width="9.140625" style="31"/>
    <col min="11775" max="11775" width="8.85546875" style="31" customWidth="1"/>
    <col min="11776" max="11777" width="26.42578125" style="31" customWidth="1"/>
    <col min="11778" max="11778" width="21.85546875" style="31" customWidth="1"/>
    <col min="11779" max="11779" width="13.42578125" style="31" customWidth="1"/>
    <col min="11780" max="11780" width="14.28515625" style="31" customWidth="1"/>
    <col min="11781" max="11781" width="11.85546875" style="31" customWidth="1"/>
    <col min="11782" max="11782" width="33.42578125" style="31" customWidth="1"/>
    <col min="11783" max="11783" width="7.7109375" style="31" customWidth="1"/>
    <col min="11784" max="11784" width="36.7109375" style="31" customWidth="1"/>
    <col min="11785" max="11785" width="33.42578125" style="31" customWidth="1"/>
    <col min="11786" max="12030" width="9.140625" style="31"/>
    <col min="12031" max="12031" width="8.85546875" style="31" customWidth="1"/>
    <col min="12032" max="12033" width="26.42578125" style="31" customWidth="1"/>
    <col min="12034" max="12034" width="21.85546875" style="31" customWidth="1"/>
    <col min="12035" max="12035" width="13.42578125" style="31" customWidth="1"/>
    <col min="12036" max="12036" width="14.28515625" style="31" customWidth="1"/>
    <col min="12037" max="12037" width="11.85546875" style="31" customWidth="1"/>
    <col min="12038" max="12038" width="33.42578125" style="31" customWidth="1"/>
    <col min="12039" max="12039" width="7.7109375" style="31" customWidth="1"/>
    <col min="12040" max="12040" width="36.7109375" style="31" customWidth="1"/>
    <col min="12041" max="12041" width="33.42578125" style="31" customWidth="1"/>
    <col min="12042" max="12286" width="9.140625" style="31"/>
    <col min="12287" max="12287" width="8.85546875" style="31" customWidth="1"/>
    <col min="12288" max="12289" width="26.42578125" style="31" customWidth="1"/>
    <col min="12290" max="12290" width="21.85546875" style="31" customWidth="1"/>
    <col min="12291" max="12291" width="13.42578125" style="31" customWidth="1"/>
    <col min="12292" max="12292" width="14.28515625" style="31" customWidth="1"/>
    <col min="12293" max="12293" width="11.85546875" style="31" customWidth="1"/>
    <col min="12294" max="12294" width="33.42578125" style="31" customWidth="1"/>
    <col min="12295" max="12295" width="7.7109375" style="31" customWidth="1"/>
    <col min="12296" max="12296" width="36.7109375" style="31" customWidth="1"/>
    <col min="12297" max="12297" width="33.42578125" style="31" customWidth="1"/>
    <col min="12298" max="12542" width="9.140625" style="31"/>
    <col min="12543" max="12543" width="8.85546875" style="31" customWidth="1"/>
    <col min="12544" max="12545" width="26.42578125" style="31" customWidth="1"/>
    <col min="12546" max="12546" width="21.85546875" style="31" customWidth="1"/>
    <col min="12547" max="12547" width="13.42578125" style="31" customWidth="1"/>
    <col min="12548" max="12548" width="14.28515625" style="31" customWidth="1"/>
    <col min="12549" max="12549" width="11.85546875" style="31" customWidth="1"/>
    <col min="12550" max="12550" width="33.42578125" style="31" customWidth="1"/>
    <col min="12551" max="12551" width="7.7109375" style="31" customWidth="1"/>
    <col min="12552" max="12552" width="36.7109375" style="31" customWidth="1"/>
    <col min="12553" max="12553" width="33.42578125" style="31" customWidth="1"/>
    <col min="12554" max="12798" width="9.140625" style="31"/>
    <col min="12799" max="12799" width="8.85546875" style="31" customWidth="1"/>
    <col min="12800" max="12801" width="26.42578125" style="31" customWidth="1"/>
    <col min="12802" max="12802" width="21.85546875" style="31" customWidth="1"/>
    <col min="12803" max="12803" width="13.42578125" style="31" customWidth="1"/>
    <col min="12804" max="12804" width="14.28515625" style="31" customWidth="1"/>
    <col min="12805" max="12805" width="11.85546875" style="31" customWidth="1"/>
    <col min="12806" max="12806" width="33.42578125" style="31" customWidth="1"/>
    <col min="12807" max="12807" width="7.7109375" style="31" customWidth="1"/>
    <col min="12808" max="12808" width="36.7109375" style="31" customWidth="1"/>
    <col min="12809" max="12809" width="33.42578125" style="31" customWidth="1"/>
    <col min="12810" max="13054" width="9.140625" style="31"/>
    <col min="13055" max="13055" width="8.85546875" style="31" customWidth="1"/>
    <col min="13056" max="13057" width="26.42578125" style="31" customWidth="1"/>
    <col min="13058" max="13058" width="21.85546875" style="31" customWidth="1"/>
    <col min="13059" max="13059" width="13.42578125" style="31" customWidth="1"/>
    <col min="13060" max="13060" width="14.28515625" style="31" customWidth="1"/>
    <col min="13061" max="13061" width="11.85546875" style="31" customWidth="1"/>
    <col min="13062" max="13062" width="33.42578125" style="31" customWidth="1"/>
    <col min="13063" max="13063" width="7.7109375" style="31" customWidth="1"/>
    <col min="13064" max="13064" width="36.7109375" style="31" customWidth="1"/>
    <col min="13065" max="13065" width="33.42578125" style="31" customWidth="1"/>
    <col min="13066" max="13310" width="9.140625" style="31"/>
    <col min="13311" max="13311" width="8.85546875" style="31" customWidth="1"/>
    <col min="13312" max="13313" width="26.42578125" style="31" customWidth="1"/>
    <col min="13314" max="13314" width="21.85546875" style="31" customWidth="1"/>
    <col min="13315" max="13315" width="13.42578125" style="31" customWidth="1"/>
    <col min="13316" max="13316" width="14.28515625" style="31" customWidth="1"/>
    <col min="13317" max="13317" width="11.85546875" style="31" customWidth="1"/>
    <col min="13318" max="13318" width="33.42578125" style="31" customWidth="1"/>
    <col min="13319" max="13319" width="7.7109375" style="31" customWidth="1"/>
    <col min="13320" max="13320" width="36.7109375" style="31" customWidth="1"/>
    <col min="13321" max="13321" width="33.42578125" style="31" customWidth="1"/>
    <col min="13322" max="13566" width="9.140625" style="31"/>
    <col min="13567" max="13567" width="8.85546875" style="31" customWidth="1"/>
    <col min="13568" max="13569" width="26.42578125" style="31" customWidth="1"/>
    <col min="13570" max="13570" width="21.85546875" style="31" customWidth="1"/>
    <col min="13571" max="13571" width="13.42578125" style="31" customWidth="1"/>
    <col min="13572" max="13572" width="14.28515625" style="31" customWidth="1"/>
    <col min="13573" max="13573" width="11.85546875" style="31" customWidth="1"/>
    <col min="13574" max="13574" width="33.42578125" style="31" customWidth="1"/>
    <col min="13575" max="13575" width="7.7109375" style="31" customWidth="1"/>
    <col min="13576" max="13576" width="36.7109375" style="31" customWidth="1"/>
    <col min="13577" max="13577" width="33.42578125" style="31" customWidth="1"/>
    <col min="13578" max="13822" width="9.140625" style="31"/>
    <col min="13823" max="13823" width="8.85546875" style="31" customWidth="1"/>
    <col min="13824" max="13825" width="26.42578125" style="31" customWidth="1"/>
    <col min="13826" max="13826" width="21.85546875" style="31" customWidth="1"/>
    <col min="13827" max="13827" width="13.42578125" style="31" customWidth="1"/>
    <col min="13828" max="13828" width="14.28515625" style="31" customWidth="1"/>
    <col min="13829" max="13829" width="11.85546875" style="31" customWidth="1"/>
    <col min="13830" max="13830" width="33.42578125" style="31" customWidth="1"/>
    <col min="13831" max="13831" width="7.7109375" style="31" customWidth="1"/>
    <col min="13832" max="13832" width="36.7109375" style="31" customWidth="1"/>
    <col min="13833" max="13833" width="33.42578125" style="31" customWidth="1"/>
    <col min="13834" max="14078" width="9.140625" style="31"/>
    <col min="14079" max="14079" width="8.85546875" style="31" customWidth="1"/>
    <col min="14080" max="14081" width="26.42578125" style="31" customWidth="1"/>
    <col min="14082" max="14082" width="21.85546875" style="31" customWidth="1"/>
    <col min="14083" max="14083" width="13.42578125" style="31" customWidth="1"/>
    <col min="14084" max="14084" width="14.28515625" style="31" customWidth="1"/>
    <col min="14085" max="14085" width="11.85546875" style="31" customWidth="1"/>
    <col min="14086" max="14086" width="33.42578125" style="31" customWidth="1"/>
    <col min="14087" max="14087" width="7.7109375" style="31" customWidth="1"/>
    <col min="14088" max="14088" width="36.7109375" style="31" customWidth="1"/>
    <col min="14089" max="14089" width="33.42578125" style="31" customWidth="1"/>
    <col min="14090" max="14334" width="9.140625" style="31"/>
    <col min="14335" max="14335" width="8.85546875" style="31" customWidth="1"/>
    <col min="14336" max="14337" width="26.42578125" style="31" customWidth="1"/>
    <col min="14338" max="14338" width="21.85546875" style="31" customWidth="1"/>
    <col min="14339" max="14339" width="13.42578125" style="31" customWidth="1"/>
    <col min="14340" max="14340" width="14.28515625" style="31" customWidth="1"/>
    <col min="14341" max="14341" width="11.85546875" style="31" customWidth="1"/>
    <col min="14342" max="14342" width="33.42578125" style="31" customWidth="1"/>
    <col min="14343" max="14343" width="7.7109375" style="31" customWidth="1"/>
    <col min="14344" max="14344" width="36.7109375" style="31" customWidth="1"/>
    <col min="14345" max="14345" width="33.42578125" style="31" customWidth="1"/>
    <col min="14346" max="14590" width="9.140625" style="31"/>
    <col min="14591" max="14591" width="8.85546875" style="31" customWidth="1"/>
    <col min="14592" max="14593" width="26.42578125" style="31" customWidth="1"/>
    <col min="14594" max="14594" width="21.85546875" style="31" customWidth="1"/>
    <col min="14595" max="14595" width="13.42578125" style="31" customWidth="1"/>
    <col min="14596" max="14596" width="14.28515625" style="31" customWidth="1"/>
    <col min="14597" max="14597" width="11.85546875" style="31" customWidth="1"/>
    <col min="14598" max="14598" width="33.42578125" style="31" customWidth="1"/>
    <col min="14599" max="14599" width="7.7109375" style="31" customWidth="1"/>
    <col min="14600" max="14600" width="36.7109375" style="31" customWidth="1"/>
    <col min="14601" max="14601" width="33.42578125" style="31" customWidth="1"/>
    <col min="14602" max="14846" width="9.140625" style="31"/>
    <col min="14847" max="14847" width="8.85546875" style="31" customWidth="1"/>
    <col min="14848" max="14849" width="26.42578125" style="31" customWidth="1"/>
    <col min="14850" max="14850" width="21.85546875" style="31" customWidth="1"/>
    <col min="14851" max="14851" width="13.42578125" style="31" customWidth="1"/>
    <col min="14852" max="14852" width="14.28515625" style="31" customWidth="1"/>
    <col min="14853" max="14853" width="11.85546875" style="31" customWidth="1"/>
    <col min="14854" max="14854" width="33.42578125" style="31" customWidth="1"/>
    <col min="14855" max="14855" width="7.7109375" style="31" customWidth="1"/>
    <col min="14856" max="14856" width="36.7109375" style="31" customWidth="1"/>
    <col min="14857" max="14857" width="33.42578125" style="31" customWidth="1"/>
    <col min="14858" max="15102" width="9.140625" style="31"/>
    <col min="15103" max="15103" width="8.85546875" style="31" customWidth="1"/>
    <col min="15104" max="15105" width="26.42578125" style="31" customWidth="1"/>
    <col min="15106" max="15106" width="21.85546875" style="31" customWidth="1"/>
    <col min="15107" max="15107" width="13.42578125" style="31" customWidth="1"/>
    <col min="15108" max="15108" width="14.28515625" style="31" customWidth="1"/>
    <col min="15109" max="15109" width="11.85546875" style="31" customWidth="1"/>
    <col min="15110" max="15110" width="33.42578125" style="31" customWidth="1"/>
    <col min="15111" max="15111" width="7.7109375" style="31" customWidth="1"/>
    <col min="15112" max="15112" width="36.7109375" style="31" customWidth="1"/>
    <col min="15113" max="15113" width="33.42578125" style="31" customWidth="1"/>
    <col min="15114" max="15358" width="9.140625" style="31"/>
    <col min="15359" max="15359" width="8.85546875" style="31" customWidth="1"/>
    <col min="15360" max="15361" width="26.42578125" style="31" customWidth="1"/>
    <col min="15362" max="15362" width="21.85546875" style="31" customWidth="1"/>
    <col min="15363" max="15363" width="13.42578125" style="31" customWidth="1"/>
    <col min="15364" max="15364" width="14.28515625" style="31" customWidth="1"/>
    <col min="15365" max="15365" width="11.85546875" style="31" customWidth="1"/>
    <col min="15366" max="15366" width="33.42578125" style="31" customWidth="1"/>
    <col min="15367" max="15367" width="7.7109375" style="31" customWidth="1"/>
    <col min="15368" max="15368" width="36.7109375" style="31" customWidth="1"/>
    <col min="15369" max="15369" width="33.42578125" style="31" customWidth="1"/>
    <col min="15370" max="15614" width="9.140625" style="31"/>
    <col min="15615" max="15615" width="8.85546875" style="31" customWidth="1"/>
    <col min="15616" max="15617" width="26.42578125" style="31" customWidth="1"/>
    <col min="15618" max="15618" width="21.85546875" style="31" customWidth="1"/>
    <col min="15619" max="15619" width="13.42578125" style="31" customWidth="1"/>
    <col min="15620" max="15620" width="14.28515625" style="31" customWidth="1"/>
    <col min="15621" max="15621" width="11.85546875" style="31" customWidth="1"/>
    <col min="15622" max="15622" width="33.42578125" style="31" customWidth="1"/>
    <col min="15623" max="15623" width="7.7109375" style="31" customWidth="1"/>
    <col min="15624" max="15624" width="36.7109375" style="31" customWidth="1"/>
    <col min="15625" max="15625" width="33.42578125" style="31" customWidth="1"/>
    <col min="15626" max="15870" width="9.140625" style="31"/>
    <col min="15871" max="15871" width="8.85546875" style="31" customWidth="1"/>
    <col min="15872" max="15873" width="26.42578125" style="31" customWidth="1"/>
    <col min="15874" max="15874" width="21.85546875" style="31" customWidth="1"/>
    <col min="15875" max="15875" width="13.42578125" style="31" customWidth="1"/>
    <col min="15876" max="15876" width="14.28515625" style="31" customWidth="1"/>
    <col min="15877" max="15877" width="11.85546875" style="31" customWidth="1"/>
    <col min="15878" max="15878" width="33.42578125" style="31" customWidth="1"/>
    <col min="15879" max="15879" width="7.7109375" style="31" customWidth="1"/>
    <col min="15880" max="15880" width="36.7109375" style="31" customWidth="1"/>
    <col min="15881" max="15881" width="33.42578125" style="31" customWidth="1"/>
    <col min="15882" max="16126" width="9.140625" style="31"/>
    <col min="16127" max="16127" width="8.85546875" style="31" customWidth="1"/>
    <col min="16128" max="16129" width="26.42578125" style="31" customWidth="1"/>
    <col min="16130" max="16130" width="21.85546875" style="31" customWidth="1"/>
    <col min="16131" max="16131" width="13.42578125" style="31" customWidth="1"/>
    <col min="16132" max="16132" width="14.28515625" style="31" customWidth="1"/>
    <col min="16133" max="16133" width="11.85546875" style="31" customWidth="1"/>
    <col min="16134" max="16134" width="33.42578125" style="31" customWidth="1"/>
    <col min="16135" max="16135" width="7.7109375" style="31" customWidth="1"/>
    <col min="16136" max="16136" width="36.7109375" style="31" customWidth="1"/>
    <col min="16137" max="16137" width="33.42578125" style="31" customWidth="1"/>
    <col min="16138" max="16384" width="9.140625" style="31"/>
  </cols>
  <sheetData>
    <row r="1" spans="1:15" s="26" customFormat="1" ht="27.75" thickBot="1">
      <c r="A1" s="50" t="s">
        <v>254</v>
      </c>
      <c r="B1" s="51" t="s">
        <v>137</v>
      </c>
      <c r="C1" s="149" t="s">
        <v>0</v>
      </c>
      <c r="D1" s="123" t="s">
        <v>37</v>
      </c>
      <c r="E1" s="123" t="s">
        <v>38</v>
      </c>
      <c r="F1" s="149" t="s">
        <v>275</v>
      </c>
      <c r="G1" s="149" t="s">
        <v>263</v>
      </c>
      <c r="H1" s="122" t="s">
        <v>419</v>
      </c>
      <c r="I1" s="123" t="s">
        <v>609</v>
      </c>
      <c r="J1" s="123" t="s">
        <v>610</v>
      </c>
      <c r="K1" s="123" t="s">
        <v>611</v>
      </c>
      <c r="L1" s="123" t="s">
        <v>612</v>
      </c>
      <c r="M1" s="123" t="s">
        <v>613</v>
      </c>
      <c r="N1" s="123" t="s">
        <v>614</v>
      </c>
      <c r="O1" s="211" t="s">
        <v>693</v>
      </c>
    </row>
    <row r="2" spans="1:15" s="26" customFormat="1" ht="59.25">
      <c r="A2" s="27">
        <v>1</v>
      </c>
      <c r="B2" s="32" t="s">
        <v>334</v>
      </c>
      <c r="C2" s="124" t="s">
        <v>236</v>
      </c>
      <c r="D2" s="124">
        <v>1</v>
      </c>
      <c r="E2" s="150">
        <v>1</v>
      </c>
      <c r="F2" s="151" t="s">
        <v>265</v>
      </c>
      <c r="G2" s="152" t="s">
        <v>672</v>
      </c>
      <c r="H2" s="155">
        <v>0</v>
      </c>
      <c r="I2" s="125">
        <v>0</v>
      </c>
      <c r="J2" s="125"/>
      <c r="K2" s="125"/>
      <c r="L2" s="125"/>
      <c r="M2" s="125"/>
      <c r="N2" s="125"/>
      <c r="O2" s="219">
        <f>SUM(E2-H2)</f>
        <v>1</v>
      </c>
    </row>
    <row r="3" spans="1:15" s="26" customFormat="1" ht="59.25">
      <c r="A3" s="28">
        <v>2</v>
      </c>
      <c r="B3" s="33" t="s">
        <v>335</v>
      </c>
      <c r="C3" s="125" t="s">
        <v>237</v>
      </c>
      <c r="D3" s="125">
        <v>4</v>
      </c>
      <c r="E3" s="153">
        <v>1</v>
      </c>
      <c r="F3" s="154" t="s">
        <v>266</v>
      </c>
      <c r="G3" s="152" t="s">
        <v>673</v>
      </c>
      <c r="H3" s="155">
        <v>0</v>
      </c>
      <c r="I3" s="125">
        <v>0</v>
      </c>
      <c r="J3" s="125"/>
      <c r="K3" s="125"/>
      <c r="L3" s="125"/>
      <c r="M3" s="125"/>
      <c r="N3" s="125"/>
      <c r="O3" s="219">
        <f t="shared" ref="O3:O15" si="0">SUM(E3-H3)</f>
        <v>1</v>
      </c>
    </row>
    <row r="4" spans="1:15" s="26" customFormat="1" ht="59.25">
      <c r="A4" s="28">
        <v>3</v>
      </c>
      <c r="B4" s="33" t="s">
        <v>336</v>
      </c>
      <c r="C4" s="125" t="s">
        <v>239</v>
      </c>
      <c r="D4" s="125">
        <v>4</v>
      </c>
      <c r="E4" s="153">
        <v>1</v>
      </c>
      <c r="F4" s="154" t="s">
        <v>267</v>
      </c>
      <c r="G4" s="152" t="s">
        <v>674</v>
      </c>
      <c r="H4" s="155">
        <v>4</v>
      </c>
      <c r="I4" s="125">
        <v>4</v>
      </c>
      <c r="J4" s="125"/>
      <c r="K4" s="125"/>
      <c r="L4" s="125"/>
      <c r="M4" s="125"/>
      <c r="N4" s="125"/>
      <c r="O4" s="219">
        <f t="shared" si="0"/>
        <v>-3</v>
      </c>
    </row>
    <row r="5" spans="1:15" s="26" customFormat="1" ht="59.25">
      <c r="A5" s="28">
        <v>4</v>
      </c>
      <c r="B5" s="33" t="s">
        <v>337</v>
      </c>
      <c r="C5" s="125" t="s">
        <v>241</v>
      </c>
      <c r="D5" s="125">
        <v>4</v>
      </c>
      <c r="E5" s="153">
        <v>1</v>
      </c>
      <c r="F5" s="154" t="s">
        <v>267</v>
      </c>
      <c r="G5" s="152" t="s">
        <v>675</v>
      </c>
      <c r="H5" s="155">
        <v>0</v>
      </c>
      <c r="I5" s="125">
        <v>0</v>
      </c>
      <c r="J5" s="125"/>
      <c r="K5" s="125"/>
      <c r="L5" s="125"/>
      <c r="M5" s="125"/>
      <c r="N5" s="125"/>
      <c r="O5" s="219">
        <f t="shared" si="0"/>
        <v>1</v>
      </c>
    </row>
    <row r="6" spans="1:15" s="26" customFormat="1" ht="59.25">
      <c r="A6" s="28">
        <v>5</v>
      </c>
      <c r="B6" s="33" t="s">
        <v>338</v>
      </c>
      <c r="C6" s="156" t="s">
        <v>242</v>
      </c>
      <c r="D6" s="156">
        <v>8</v>
      </c>
      <c r="E6" s="157">
        <v>2</v>
      </c>
      <c r="F6" s="154" t="s">
        <v>268</v>
      </c>
      <c r="G6" s="152" t="s">
        <v>676</v>
      </c>
      <c r="H6" s="155">
        <v>6</v>
      </c>
      <c r="I6" s="125">
        <v>6</v>
      </c>
      <c r="J6" s="125"/>
      <c r="K6" s="125"/>
      <c r="L6" s="125"/>
      <c r="M6" s="125"/>
      <c r="N6" s="125"/>
      <c r="O6" s="219">
        <f t="shared" si="0"/>
        <v>-4</v>
      </c>
    </row>
    <row r="7" spans="1:15" s="26" customFormat="1" ht="59.25">
      <c r="A7" s="28">
        <v>6</v>
      </c>
      <c r="B7" s="33" t="s">
        <v>339</v>
      </c>
      <c r="C7" s="156" t="s">
        <v>243</v>
      </c>
      <c r="D7" s="156">
        <v>4</v>
      </c>
      <c r="E7" s="157">
        <v>1</v>
      </c>
      <c r="F7" s="158" t="s">
        <v>269</v>
      </c>
      <c r="G7" s="152" t="s">
        <v>677</v>
      </c>
      <c r="H7" s="155">
        <v>1</v>
      </c>
      <c r="I7" s="125">
        <v>1</v>
      </c>
      <c r="J7" s="125"/>
      <c r="K7" s="125"/>
      <c r="L7" s="125"/>
      <c r="M7" s="125"/>
      <c r="N7" s="125"/>
      <c r="O7" s="219">
        <f t="shared" si="0"/>
        <v>0</v>
      </c>
    </row>
    <row r="8" spans="1:15" s="26" customFormat="1" ht="57">
      <c r="A8" s="28">
        <v>7</v>
      </c>
      <c r="B8" s="33" t="s">
        <v>340</v>
      </c>
      <c r="C8" s="125" t="s">
        <v>244</v>
      </c>
      <c r="D8" s="125">
        <v>1</v>
      </c>
      <c r="E8" s="153">
        <v>1</v>
      </c>
      <c r="F8" s="158" t="s">
        <v>269</v>
      </c>
      <c r="G8" s="159" t="s">
        <v>678</v>
      </c>
      <c r="H8" s="155">
        <v>0</v>
      </c>
      <c r="I8" s="125">
        <v>0</v>
      </c>
      <c r="J8" s="125"/>
      <c r="K8" s="125"/>
      <c r="L8" s="125"/>
      <c r="M8" s="125"/>
      <c r="N8" s="125"/>
      <c r="O8" s="219">
        <f t="shared" si="0"/>
        <v>1</v>
      </c>
    </row>
    <row r="9" spans="1:15" s="26" customFormat="1" ht="59.25">
      <c r="A9" s="28">
        <v>8</v>
      </c>
      <c r="B9" s="33" t="s">
        <v>341</v>
      </c>
      <c r="C9" s="156" t="s">
        <v>245</v>
      </c>
      <c r="D9" s="156">
        <v>4</v>
      </c>
      <c r="E9" s="157">
        <v>1</v>
      </c>
      <c r="F9" s="154" t="s">
        <v>270</v>
      </c>
      <c r="G9" s="152" t="s">
        <v>679</v>
      </c>
      <c r="H9" s="155">
        <v>3</v>
      </c>
      <c r="I9" s="125">
        <v>3</v>
      </c>
      <c r="J9" s="125"/>
      <c r="K9" s="125"/>
      <c r="L9" s="125"/>
      <c r="M9" s="125"/>
      <c r="N9" s="125"/>
      <c r="O9" s="219">
        <f t="shared" si="0"/>
        <v>-2</v>
      </c>
    </row>
    <row r="10" spans="1:15" s="26" customFormat="1" ht="59.25">
      <c r="A10" s="28">
        <v>9</v>
      </c>
      <c r="B10" s="33" t="s">
        <v>342</v>
      </c>
      <c r="C10" s="156" t="s">
        <v>246</v>
      </c>
      <c r="D10" s="156">
        <v>4</v>
      </c>
      <c r="E10" s="157">
        <v>1</v>
      </c>
      <c r="F10" s="154" t="s">
        <v>428</v>
      </c>
      <c r="G10" s="152" t="s">
        <v>680</v>
      </c>
      <c r="H10" s="156">
        <v>1</v>
      </c>
      <c r="I10" s="156">
        <v>1</v>
      </c>
      <c r="J10" s="125"/>
      <c r="K10" s="125"/>
      <c r="L10" s="125"/>
      <c r="M10" s="125"/>
      <c r="N10" s="125"/>
      <c r="O10" s="219">
        <f t="shared" si="0"/>
        <v>0</v>
      </c>
    </row>
    <row r="11" spans="1:15" s="26" customFormat="1" ht="59.25">
      <c r="A11" s="28">
        <v>10</v>
      </c>
      <c r="B11" s="33" t="s">
        <v>343</v>
      </c>
      <c r="C11" s="156" t="s">
        <v>247</v>
      </c>
      <c r="D11" s="156">
        <v>8</v>
      </c>
      <c r="E11" s="157">
        <v>2</v>
      </c>
      <c r="F11" s="154" t="s">
        <v>271</v>
      </c>
      <c r="G11" s="152" t="s">
        <v>681</v>
      </c>
      <c r="H11" s="155">
        <v>0</v>
      </c>
      <c r="I11" s="125">
        <v>0</v>
      </c>
      <c r="J11" s="125"/>
      <c r="K11" s="125"/>
      <c r="L11" s="125"/>
      <c r="M11" s="125"/>
      <c r="N11" s="125"/>
      <c r="O11" s="219">
        <f t="shared" si="0"/>
        <v>2</v>
      </c>
    </row>
    <row r="12" spans="1:15" s="26" customFormat="1" ht="59.25">
      <c r="A12" s="28">
        <v>11</v>
      </c>
      <c r="B12" s="33" t="s">
        <v>344</v>
      </c>
      <c r="C12" s="156" t="s">
        <v>248</v>
      </c>
      <c r="D12" s="156">
        <v>4</v>
      </c>
      <c r="E12" s="157">
        <v>1</v>
      </c>
      <c r="F12" s="158" t="s">
        <v>272</v>
      </c>
      <c r="G12" s="152" t="s">
        <v>682</v>
      </c>
      <c r="H12" s="155">
        <v>0</v>
      </c>
      <c r="I12" s="125">
        <v>0</v>
      </c>
      <c r="J12" s="125"/>
      <c r="K12" s="125"/>
      <c r="L12" s="125"/>
      <c r="M12" s="125"/>
      <c r="N12" s="125"/>
      <c r="O12" s="219">
        <f t="shared" si="0"/>
        <v>1</v>
      </c>
    </row>
    <row r="13" spans="1:15" s="26" customFormat="1" ht="59.25">
      <c r="A13" s="28">
        <v>12</v>
      </c>
      <c r="B13" s="33" t="s">
        <v>345</v>
      </c>
      <c r="C13" s="156" t="s">
        <v>249</v>
      </c>
      <c r="D13" s="156">
        <v>4</v>
      </c>
      <c r="E13" s="157">
        <v>1</v>
      </c>
      <c r="F13" s="154" t="s">
        <v>273</v>
      </c>
      <c r="G13" s="152" t="s">
        <v>683</v>
      </c>
      <c r="H13" s="155">
        <v>1</v>
      </c>
      <c r="I13" s="125">
        <v>1</v>
      </c>
      <c r="J13" s="125"/>
      <c r="K13" s="125"/>
      <c r="L13" s="125"/>
      <c r="M13" s="125"/>
      <c r="N13" s="125"/>
      <c r="O13" s="219">
        <f t="shared" si="0"/>
        <v>0</v>
      </c>
    </row>
    <row r="14" spans="1:15" s="26" customFormat="1" ht="73.5">
      <c r="A14" s="28">
        <v>13</v>
      </c>
      <c r="B14" s="33" t="s">
        <v>346</v>
      </c>
      <c r="C14" s="156" t="s">
        <v>251</v>
      </c>
      <c r="D14" s="156">
        <v>10</v>
      </c>
      <c r="E14" s="157">
        <v>2</v>
      </c>
      <c r="F14" s="154" t="s">
        <v>274</v>
      </c>
      <c r="G14" s="152" t="s">
        <v>684</v>
      </c>
      <c r="H14" s="155">
        <v>0</v>
      </c>
      <c r="I14" s="125">
        <v>0</v>
      </c>
      <c r="J14" s="125"/>
      <c r="K14" s="125"/>
      <c r="L14" s="125"/>
      <c r="M14" s="125"/>
      <c r="N14" s="125"/>
      <c r="O14" s="219">
        <f t="shared" si="0"/>
        <v>2</v>
      </c>
    </row>
    <row r="15" spans="1:15" s="26" customFormat="1" ht="59.25">
      <c r="A15" s="28">
        <v>14</v>
      </c>
      <c r="B15" s="33" t="s">
        <v>347</v>
      </c>
      <c r="C15" s="156" t="s">
        <v>252</v>
      </c>
      <c r="D15" s="156">
        <v>4</v>
      </c>
      <c r="E15" s="157">
        <v>1</v>
      </c>
      <c r="F15" s="158" t="s">
        <v>273</v>
      </c>
      <c r="G15" s="152" t="s">
        <v>685</v>
      </c>
      <c r="H15" s="155">
        <v>0</v>
      </c>
      <c r="I15" s="125">
        <v>0</v>
      </c>
      <c r="J15" s="125"/>
      <c r="K15" s="125"/>
      <c r="L15" s="125"/>
      <c r="M15" s="125"/>
      <c r="N15" s="125"/>
      <c r="O15" s="219">
        <f t="shared" si="0"/>
        <v>1</v>
      </c>
    </row>
    <row r="16" spans="1:15">
      <c r="D16" s="155">
        <f>SUM(D2:D15)</f>
        <v>64</v>
      </c>
      <c r="E16" s="155"/>
      <c r="F16" s="155"/>
      <c r="G16" s="221"/>
      <c r="H16" s="222"/>
      <c r="I16" s="223"/>
      <c r="J16" s="155"/>
      <c r="K16" s="155"/>
      <c r="L16" s="155"/>
      <c r="M16" s="155"/>
      <c r="N16" s="155"/>
      <c r="O16" s="218">
        <f>SUM(O2:O15)</f>
        <v>1</v>
      </c>
    </row>
    <row r="17" spans="3:14" s="26" customFormat="1">
      <c r="C17" s="160"/>
      <c r="D17" s="160"/>
      <c r="E17" s="160"/>
      <c r="F17" s="160"/>
      <c r="G17" s="220" t="s">
        <v>420</v>
      </c>
      <c r="H17" s="220">
        <v>1</v>
      </c>
      <c r="I17" s="160"/>
      <c r="J17" s="160"/>
      <c r="K17" s="160"/>
      <c r="L17" s="160"/>
      <c r="M17" s="160"/>
      <c r="N17" s="160"/>
    </row>
    <row r="18" spans="3:14">
      <c r="G18" s="163" t="s">
        <v>421</v>
      </c>
      <c r="H18" s="163">
        <v>5</v>
      </c>
    </row>
    <row r="19" spans="3:14">
      <c r="G19" s="163" t="s">
        <v>422</v>
      </c>
      <c r="H19" s="163">
        <v>3</v>
      </c>
    </row>
    <row r="20" spans="3:14">
      <c r="G20" s="163" t="s">
        <v>423</v>
      </c>
      <c r="H20" s="163">
        <v>6</v>
      </c>
    </row>
    <row r="21" spans="3:14">
      <c r="G21" s="163" t="s">
        <v>429</v>
      </c>
      <c r="H21" s="163">
        <v>2</v>
      </c>
    </row>
    <row r="22" spans="3:14">
      <c r="G22" s="163" t="s">
        <v>425</v>
      </c>
      <c r="H22" s="163">
        <v>2</v>
      </c>
    </row>
    <row r="23" spans="3:14">
      <c r="G23" s="163" t="s">
        <v>426</v>
      </c>
      <c r="H23" s="163">
        <v>1</v>
      </c>
    </row>
    <row r="24" spans="3:14">
      <c r="G24" s="163" t="s">
        <v>427</v>
      </c>
      <c r="H24" s="163">
        <v>1</v>
      </c>
    </row>
    <row r="25" spans="3:14">
      <c r="G25" s="162"/>
    </row>
  </sheetData>
  <pageMargins left="0.5" right="0.7" top="0.75" bottom="0.75" header="0.3" footer="0.3"/>
  <pageSetup scale="4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4"/>
  <sheetViews>
    <sheetView topLeftCell="A4" workbookViewId="0">
      <selection activeCell="N6" sqref="N6"/>
    </sheetView>
  </sheetViews>
  <sheetFormatPr defaultRowHeight="21"/>
  <cols>
    <col min="1" max="1" width="7.42578125" style="185" customWidth="1"/>
    <col min="2" max="2" width="25.140625" style="148" customWidth="1"/>
    <col min="3" max="3" width="13.140625" style="148" customWidth="1"/>
    <col min="4" max="4" width="12.5703125" style="148" customWidth="1"/>
    <col min="5" max="5" width="16.140625" style="148" customWidth="1"/>
    <col min="6" max="6" width="31.42578125" style="148" customWidth="1"/>
    <col min="7" max="7" width="13.85546875" style="166" customWidth="1"/>
    <col min="8" max="9" width="6.85546875" style="148" customWidth="1"/>
    <col min="10" max="10" width="7.140625" style="148" customWidth="1"/>
    <col min="11" max="11" width="7.28515625" style="148" customWidth="1"/>
    <col min="12" max="12" width="7.5703125" style="148" customWidth="1"/>
    <col min="13" max="13" width="7.7109375" style="148" customWidth="1"/>
    <col min="14" max="14" width="18" customWidth="1"/>
  </cols>
  <sheetData>
    <row r="1" spans="1:14" ht="40.5">
      <c r="A1" s="168" t="s">
        <v>254</v>
      </c>
      <c r="B1" s="168" t="s">
        <v>137</v>
      </c>
      <c r="C1" s="145" t="s">
        <v>37</v>
      </c>
      <c r="D1" s="145" t="s">
        <v>38</v>
      </c>
      <c r="E1" s="168" t="s">
        <v>275</v>
      </c>
      <c r="F1" s="168" t="s">
        <v>263</v>
      </c>
      <c r="G1" s="144" t="s">
        <v>419</v>
      </c>
      <c r="H1" s="145" t="s">
        <v>609</v>
      </c>
      <c r="I1" s="145" t="s">
        <v>610</v>
      </c>
      <c r="J1" s="145" t="s">
        <v>611</v>
      </c>
      <c r="K1" s="145" t="s">
        <v>612</v>
      </c>
      <c r="L1" s="145" t="s">
        <v>613</v>
      </c>
      <c r="M1" s="145" t="s">
        <v>614</v>
      </c>
      <c r="N1" s="211" t="s">
        <v>693</v>
      </c>
    </row>
    <row r="2" spans="1:14" ht="59.25" customHeight="1">
      <c r="A2" s="169">
        <v>1</v>
      </c>
      <c r="B2" s="146" t="s">
        <v>348</v>
      </c>
      <c r="C2" s="146">
        <v>39</v>
      </c>
      <c r="D2" s="167">
        <v>10</v>
      </c>
      <c r="E2" s="170" t="s">
        <v>276</v>
      </c>
      <c r="F2" s="171" t="s">
        <v>240</v>
      </c>
      <c r="G2" s="146">
        <v>1</v>
      </c>
      <c r="H2" s="146">
        <v>1</v>
      </c>
      <c r="I2" s="147"/>
      <c r="J2" s="147"/>
      <c r="K2" s="147"/>
      <c r="L2" s="147"/>
      <c r="M2" s="147"/>
      <c r="N2" s="208">
        <f>SUM(D2-G2)</f>
        <v>9</v>
      </c>
    </row>
    <row r="3" spans="1:14" ht="58.5" customHeight="1">
      <c r="A3" s="165">
        <v>2</v>
      </c>
      <c r="B3" s="146" t="s">
        <v>349</v>
      </c>
      <c r="C3" s="146">
        <v>9</v>
      </c>
      <c r="D3" s="167">
        <v>3</v>
      </c>
      <c r="E3" s="170" t="s">
        <v>276</v>
      </c>
      <c r="F3" s="171" t="s">
        <v>238</v>
      </c>
      <c r="G3" s="146">
        <v>8</v>
      </c>
      <c r="H3" s="146">
        <v>8</v>
      </c>
      <c r="I3" s="147"/>
      <c r="J3" s="147"/>
      <c r="K3" s="147"/>
      <c r="L3" s="147"/>
      <c r="M3" s="147"/>
      <c r="N3" s="208">
        <f t="shared" ref="N3:N8" si="0">SUM(D3-G3)</f>
        <v>-5</v>
      </c>
    </row>
    <row r="4" spans="1:14" ht="33.75" customHeight="1">
      <c r="A4" s="165">
        <v>3</v>
      </c>
      <c r="B4" s="146" t="s">
        <v>358</v>
      </c>
      <c r="C4" s="146">
        <v>40</v>
      </c>
      <c r="D4" s="167">
        <v>10</v>
      </c>
      <c r="E4" s="172" t="s">
        <v>253</v>
      </c>
      <c r="F4" s="171" t="s">
        <v>359</v>
      </c>
      <c r="G4" s="146">
        <v>4</v>
      </c>
      <c r="H4" s="146">
        <v>3</v>
      </c>
      <c r="I4" s="147"/>
      <c r="J4" s="147"/>
      <c r="K4" s="147"/>
      <c r="L4" s="147"/>
      <c r="M4" s="147"/>
      <c r="N4" s="208">
        <f t="shared" si="0"/>
        <v>6</v>
      </c>
    </row>
    <row r="5" spans="1:14" s="37" customFormat="1" ht="81">
      <c r="A5" s="173">
        <v>4</v>
      </c>
      <c r="B5" s="174" t="s">
        <v>360</v>
      </c>
      <c r="C5" s="175">
        <v>8</v>
      </c>
      <c r="D5" s="176">
        <v>2</v>
      </c>
      <c r="E5" s="177" t="s">
        <v>361</v>
      </c>
      <c r="F5" s="178" t="s">
        <v>362</v>
      </c>
      <c r="G5" s="146">
        <v>0</v>
      </c>
      <c r="H5" s="146">
        <v>0</v>
      </c>
      <c r="I5" s="147"/>
      <c r="J5" s="147"/>
      <c r="K5" s="147"/>
      <c r="L5" s="147"/>
      <c r="M5" s="147"/>
      <c r="N5" s="208">
        <f t="shared" si="0"/>
        <v>2</v>
      </c>
    </row>
    <row r="6" spans="1:14" s="37" customFormat="1" ht="40.5">
      <c r="A6" s="168" t="s">
        <v>254</v>
      </c>
      <c r="B6" s="168" t="s">
        <v>137</v>
      </c>
      <c r="C6" s="145" t="s">
        <v>37</v>
      </c>
      <c r="D6" s="145" t="s">
        <v>38</v>
      </c>
      <c r="E6" s="168" t="s">
        <v>275</v>
      </c>
      <c r="F6" s="179" t="s">
        <v>263</v>
      </c>
      <c r="G6" s="144" t="s">
        <v>419</v>
      </c>
      <c r="H6" s="145" t="s">
        <v>609</v>
      </c>
      <c r="I6" s="145" t="s">
        <v>610</v>
      </c>
      <c r="J6" s="145" t="s">
        <v>611</v>
      </c>
      <c r="K6" s="145" t="s">
        <v>612</v>
      </c>
      <c r="L6" s="145" t="s">
        <v>613</v>
      </c>
      <c r="M6" s="145" t="s">
        <v>614</v>
      </c>
      <c r="N6" s="211" t="s">
        <v>693</v>
      </c>
    </row>
    <row r="7" spans="1:14" s="37" customFormat="1" ht="182.25">
      <c r="A7" s="165">
        <v>1</v>
      </c>
      <c r="B7" s="146" t="s">
        <v>350</v>
      </c>
      <c r="C7" s="146">
        <v>8</v>
      </c>
      <c r="D7" s="167">
        <v>2</v>
      </c>
      <c r="E7" s="147"/>
      <c r="F7" s="171" t="s">
        <v>250</v>
      </c>
      <c r="G7" s="146">
        <v>0</v>
      </c>
      <c r="H7" s="146">
        <v>0</v>
      </c>
      <c r="I7" s="147"/>
      <c r="J7" s="147"/>
      <c r="K7" s="147"/>
      <c r="L7" s="147"/>
      <c r="M7" s="147"/>
      <c r="N7" s="208">
        <f t="shared" si="0"/>
        <v>2</v>
      </c>
    </row>
    <row r="8" spans="1:14" s="37" customFormat="1" ht="182.25">
      <c r="A8" s="165">
        <v>2</v>
      </c>
      <c r="B8" s="146" t="s">
        <v>351</v>
      </c>
      <c r="C8" s="146">
        <v>12</v>
      </c>
      <c r="D8" s="167">
        <v>3</v>
      </c>
      <c r="E8" s="147"/>
      <c r="F8" s="171" t="s">
        <v>294</v>
      </c>
      <c r="G8" s="146">
        <v>0</v>
      </c>
      <c r="H8" s="146">
        <v>0</v>
      </c>
      <c r="I8" s="147"/>
      <c r="J8" s="147"/>
      <c r="K8" s="147"/>
      <c r="L8" s="147"/>
      <c r="M8" s="147"/>
      <c r="N8" s="208">
        <f t="shared" si="0"/>
        <v>3</v>
      </c>
    </row>
    <row r="9" spans="1:14" s="37" customFormat="1">
      <c r="A9" s="173"/>
      <c r="B9" s="180"/>
      <c r="C9" s="175">
        <f>SUM(C7:C8)</f>
        <v>20</v>
      </c>
      <c r="D9" s="180"/>
      <c r="E9" s="148"/>
      <c r="F9" s="148"/>
      <c r="G9" s="181"/>
      <c r="H9" s="180"/>
      <c r="I9" s="180"/>
      <c r="J9" s="180"/>
      <c r="K9" s="180"/>
      <c r="L9" s="180"/>
      <c r="M9" s="180"/>
    </row>
    <row r="10" spans="1:14" s="37" customFormat="1">
      <c r="A10" s="173"/>
      <c r="B10" s="180"/>
      <c r="C10" s="180"/>
      <c r="D10" s="180"/>
      <c r="E10" s="180"/>
      <c r="F10" s="180"/>
      <c r="G10" s="181"/>
      <c r="H10" s="180"/>
      <c r="I10" s="180"/>
      <c r="J10" s="180"/>
      <c r="K10" s="180"/>
      <c r="L10" s="180"/>
      <c r="M10" s="180"/>
    </row>
    <row r="11" spans="1:14" s="38" customFormat="1" ht="20.25">
      <c r="A11" s="182"/>
      <c r="B11" s="173"/>
      <c r="C11" s="173"/>
      <c r="D11" s="183"/>
      <c r="E11" s="184"/>
      <c r="F11" s="182"/>
      <c r="G11" s="182"/>
      <c r="H11" s="182"/>
      <c r="I11" s="182"/>
      <c r="J11" s="182"/>
      <c r="K11" s="182"/>
      <c r="L11" s="182"/>
      <c r="M11" s="182"/>
    </row>
    <row r="12" spans="1:14" s="37" customFormat="1">
      <c r="A12" s="173"/>
      <c r="B12" s="180"/>
      <c r="C12" s="180"/>
      <c r="D12" s="180"/>
      <c r="E12" s="180"/>
      <c r="F12" s="180"/>
      <c r="G12" s="181"/>
      <c r="H12" s="180"/>
      <c r="I12" s="180"/>
      <c r="J12" s="180"/>
      <c r="K12" s="180"/>
      <c r="L12" s="180"/>
      <c r="M12" s="180"/>
    </row>
    <row r="13" spans="1:14" s="37" customFormat="1">
      <c r="A13" s="173"/>
      <c r="B13" s="180"/>
      <c r="C13" s="180"/>
      <c r="D13" s="180"/>
      <c r="E13" s="180"/>
      <c r="F13" s="180"/>
      <c r="G13" s="181"/>
      <c r="H13" s="180"/>
      <c r="I13" s="180"/>
      <c r="J13" s="180"/>
      <c r="K13" s="180"/>
      <c r="L13" s="180"/>
      <c r="M13" s="180"/>
    </row>
    <row r="14" spans="1:14" s="37" customFormat="1">
      <c r="A14" s="173"/>
      <c r="B14" s="180"/>
      <c r="C14" s="180"/>
      <c r="D14" s="180"/>
      <c r="E14" s="180"/>
      <c r="F14" s="180"/>
      <c r="G14" s="181"/>
      <c r="H14" s="180"/>
      <c r="I14" s="180"/>
      <c r="J14" s="180"/>
      <c r="K14" s="180"/>
      <c r="L14" s="180"/>
      <c r="M14" s="180"/>
    </row>
  </sheetData>
  <pageMargins left="0.7" right="0.45" top="0.75" bottom="0.75" header="0.3" footer="0.3"/>
  <pageSetup scale="6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3"/>
  <sheetViews>
    <sheetView workbookViewId="0">
      <selection activeCell="H1" sqref="H1:M3"/>
    </sheetView>
  </sheetViews>
  <sheetFormatPr defaultRowHeight="15"/>
  <cols>
    <col min="1" max="1" width="5.5703125" style="30" customWidth="1"/>
    <col min="2" max="2" width="24.7109375" customWidth="1"/>
    <col min="6" max="6" width="29.140625" customWidth="1"/>
    <col min="8" max="9" width="5.42578125" customWidth="1"/>
    <col min="10" max="10" width="6.42578125" customWidth="1"/>
    <col min="11" max="11" width="6.5703125" customWidth="1"/>
    <col min="12" max="12" width="6.7109375" customWidth="1"/>
    <col min="13" max="13" width="6.28515625" customWidth="1"/>
  </cols>
  <sheetData>
    <row r="1" spans="1:13">
      <c r="A1" s="53" t="s">
        <v>254</v>
      </c>
      <c r="B1" s="53" t="s">
        <v>137</v>
      </c>
      <c r="C1" s="52" t="s">
        <v>37</v>
      </c>
      <c r="D1" s="52" t="s">
        <v>38</v>
      </c>
      <c r="E1" s="53" t="s">
        <v>275</v>
      </c>
      <c r="F1" s="53" t="s">
        <v>263</v>
      </c>
      <c r="G1" s="44" t="s">
        <v>419</v>
      </c>
      <c r="H1" s="52" t="s">
        <v>609</v>
      </c>
      <c r="I1" s="52" t="s">
        <v>610</v>
      </c>
      <c r="J1" s="52" t="s">
        <v>611</v>
      </c>
      <c r="K1" s="52" t="s">
        <v>612</v>
      </c>
      <c r="L1" s="52" t="s">
        <v>613</v>
      </c>
      <c r="M1" s="52" t="s">
        <v>614</v>
      </c>
    </row>
    <row r="2" spans="1:13" ht="94.5">
      <c r="A2" s="29">
        <v>1</v>
      </c>
      <c r="B2" s="35" t="s">
        <v>350</v>
      </c>
      <c r="C2" s="35">
        <v>8</v>
      </c>
      <c r="D2" s="41">
        <v>2</v>
      </c>
      <c r="E2" s="8"/>
      <c r="F2" s="29" t="s">
        <v>250</v>
      </c>
      <c r="G2" s="70">
        <v>0</v>
      </c>
      <c r="H2" s="8"/>
      <c r="I2" s="8"/>
      <c r="J2" s="8"/>
      <c r="K2" s="8"/>
      <c r="L2" s="8"/>
      <c r="M2" s="8"/>
    </row>
    <row r="3" spans="1:13" ht="94.5">
      <c r="A3" s="29">
        <v>2</v>
      </c>
      <c r="B3" s="35" t="s">
        <v>351</v>
      </c>
      <c r="C3" s="35">
        <v>12</v>
      </c>
      <c r="D3" s="41">
        <v>3</v>
      </c>
      <c r="E3" s="8"/>
      <c r="F3" s="29" t="s">
        <v>294</v>
      </c>
      <c r="G3" s="70">
        <v>0</v>
      </c>
      <c r="H3" s="8"/>
      <c r="I3" s="8"/>
      <c r="J3" s="8"/>
      <c r="K3" s="8"/>
      <c r="L3" s="8"/>
      <c r="M3" s="8"/>
    </row>
    <row r="4" spans="1:13">
      <c r="A4" s="36"/>
      <c r="B4" s="37"/>
      <c r="C4" s="58">
        <f>SUM(C2:C3)</f>
        <v>20</v>
      </c>
      <c r="D4" s="37"/>
    </row>
    <row r="5" spans="1:13">
      <c r="A5" s="36"/>
      <c r="B5" s="37"/>
      <c r="C5" s="37"/>
      <c r="D5" s="37"/>
    </row>
    <row r="6" spans="1:13">
      <c r="A6" s="36"/>
      <c r="B6" s="37"/>
      <c r="C6" s="37"/>
      <c r="D6" s="37"/>
    </row>
    <row r="7" spans="1:13">
      <c r="A7" s="36"/>
      <c r="B7" s="37"/>
      <c r="C7" s="37"/>
      <c r="D7" s="37"/>
    </row>
    <row r="8" spans="1:13">
      <c r="A8" s="36"/>
      <c r="B8" s="37"/>
      <c r="C8" s="37"/>
      <c r="D8" s="37"/>
    </row>
    <row r="9" spans="1:13">
      <c r="A9" s="36"/>
      <c r="B9" s="37"/>
      <c r="C9" s="37"/>
      <c r="D9" s="37"/>
    </row>
    <row r="10" spans="1:13">
      <c r="A10" s="36"/>
      <c r="B10" s="37"/>
      <c r="C10" s="37"/>
      <c r="D10" s="37"/>
    </row>
    <row r="11" spans="1:13">
      <c r="A11" s="36"/>
      <c r="B11" s="37"/>
      <c r="C11" s="37"/>
      <c r="D11" s="37"/>
    </row>
    <row r="12" spans="1:13">
      <c r="A12" s="36"/>
      <c r="B12" s="37"/>
      <c r="C12" s="37"/>
      <c r="D12" s="37"/>
    </row>
    <row r="13" spans="1:13">
      <c r="A13" s="36"/>
      <c r="B13" s="37"/>
      <c r="C13" s="37"/>
      <c r="D13" s="37"/>
    </row>
    <row r="14" spans="1:13">
      <c r="A14" s="36"/>
      <c r="B14" s="37"/>
      <c r="C14" s="37"/>
      <c r="D14" s="37"/>
    </row>
    <row r="15" spans="1:13">
      <c r="A15" s="36"/>
      <c r="B15" s="37"/>
      <c r="C15" s="37"/>
      <c r="D15" s="37"/>
    </row>
    <row r="16" spans="1:13">
      <c r="A16" s="36"/>
      <c r="B16" s="37"/>
      <c r="C16" s="37"/>
      <c r="D16" s="37"/>
    </row>
    <row r="17" spans="1:4">
      <c r="A17" s="36"/>
      <c r="B17" s="37"/>
      <c r="C17" s="37"/>
      <c r="D17" s="37"/>
    </row>
    <row r="18" spans="1:4">
      <c r="A18" s="36"/>
      <c r="B18" s="37"/>
      <c r="C18" s="37"/>
      <c r="D18" s="37"/>
    </row>
    <row r="19" spans="1:4">
      <c r="A19" s="36"/>
      <c r="B19" s="37"/>
      <c r="C19" s="37"/>
      <c r="D19" s="37"/>
    </row>
    <row r="20" spans="1:4">
      <c r="A20" s="36"/>
      <c r="B20" s="37"/>
      <c r="C20" s="37"/>
      <c r="D20" s="37"/>
    </row>
    <row r="21" spans="1:4">
      <c r="A21" s="36"/>
      <c r="B21" s="37"/>
      <c r="C21" s="37"/>
      <c r="D21" s="37"/>
    </row>
    <row r="22" spans="1:4">
      <c r="A22" s="36"/>
      <c r="B22" s="37"/>
      <c r="C22" s="37"/>
      <c r="D22" s="37"/>
    </row>
    <row r="23" spans="1:4">
      <c r="A23" s="36"/>
      <c r="B23" s="37"/>
      <c r="C23" s="37"/>
      <c r="D23" s="37"/>
    </row>
  </sheetData>
  <pageMargins left="0.7" right="0.7" top="0.75" bottom="0.75" header="0.3" footer="0.3"/>
  <pageSetup scale="92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8"/>
  <sheetViews>
    <sheetView topLeftCell="B1" zoomScale="85" zoomScaleNormal="85" workbookViewId="0">
      <selection activeCell="O1" sqref="O1"/>
    </sheetView>
  </sheetViews>
  <sheetFormatPr defaultRowHeight="18.75"/>
  <cols>
    <col min="1" max="1" width="6.5703125" style="143" customWidth="1"/>
    <col min="2" max="2" width="38.7109375" style="164" customWidth="1"/>
    <col min="3" max="4" width="9.140625" style="143"/>
    <col min="5" max="5" width="19.28515625" style="143" customWidth="1"/>
    <col min="6" max="6" width="45.7109375" style="143" customWidth="1"/>
    <col min="7" max="7" width="18.85546875" style="164" customWidth="1"/>
    <col min="8" max="8" width="11" style="164" customWidth="1"/>
    <col min="9" max="9" width="8.140625" style="143" customWidth="1"/>
    <col min="10" max="14" width="9.140625" style="143"/>
    <col min="15" max="15" width="16.85546875" customWidth="1"/>
  </cols>
  <sheetData>
    <row r="1" spans="1:15" ht="25.5" customHeight="1">
      <c r="A1" s="186" t="s">
        <v>35</v>
      </c>
      <c r="B1" s="107" t="s">
        <v>137</v>
      </c>
      <c r="C1" s="107" t="s">
        <v>37</v>
      </c>
      <c r="D1" s="107" t="s">
        <v>38</v>
      </c>
      <c r="E1" s="107" t="s">
        <v>0</v>
      </c>
      <c r="F1" s="107" t="s">
        <v>39</v>
      </c>
      <c r="G1" s="107" t="s">
        <v>41</v>
      </c>
      <c r="H1" s="106" t="s">
        <v>419</v>
      </c>
      <c r="I1" s="107" t="s">
        <v>609</v>
      </c>
      <c r="J1" s="107" t="s">
        <v>610</v>
      </c>
      <c r="K1" s="107" t="s">
        <v>611</v>
      </c>
      <c r="L1" s="107" t="s">
        <v>612</v>
      </c>
      <c r="M1" s="107" t="s">
        <v>613</v>
      </c>
      <c r="N1" s="107" t="s">
        <v>614</v>
      </c>
      <c r="O1" s="211" t="s">
        <v>693</v>
      </c>
    </row>
    <row r="2" spans="1:15" ht="187.5">
      <c r="A2" s="79">
        <v>1</v>
      </c>
      <c r="B2" s="79" t="s">
        <v>352</v>
      </c>
      <c r="C2" s="79">
        <v>12</v>
      </c>
      <c r="D2" s="108">
        <v>3</v>
      </c>
      <c r="E2" s="187" t="s">
        <v>280</v>
      </c>
      <c r="F2" s="112" t="s">
        <v>290</v>
      </c>
      <c r="G2" s="79" t="s">
        <v>277</v>
      </c>
      <c r="H2" s="79">
        <v>2</v>
      </c>
      <c r="I2" s="188">
        <v>2</v>
      </c>
      <c r="J2" s="111"/>
      <c r="K2" s="111"/>
      <c r="L2" s="111"/>
      <c r="M2" s="111"/>
      <c r="N2" s="111"/>
      <c r="O2" s="208">
        <f>SUM(D2-H2)</f>
        <v>1</v>
      </c>
    </row>
    <row r="3" spans="1:15" ht="30" customHeight="1">
      <c r="A3" s="258">
        <v>2</v>
      </c>
      <c r="B3" s="258" t="s">
        <v>353</v>
      </c>
      <c r="C3" s="258">
        <v>7</v>
      </c>
      <c r="D3" s="262">
        <v>2</v>
      </c>
      <c r="E3" s="263" t="s">
        <v>281</v>
      </c>
      <c r="F3" s="259" t="s">
        <v>289</v>
      </c>
      <c r="G3" s="258" t="s">
        <v>278</v>
      </c>
      <c r="H3" s="260">
        <v>0</v>
      </c>
      <c r="I3" s="260">
        <v>0</v>
      </c>
      <c r="J3" s="264"/>
      <c r="K3" s="264"/>
      <c r="L3" s="264"/>
      <c r="M3" s="264"/>
      <c r="N3" s="264"/>
      <c r="O3" s="208">
        <f t="shared" ref="O3:O12" si="0">SUM(D3-H3)</f>
        <v>2</v>
      </c>
    </row>
    <row r="4" spans="1:15" ht="78" customHeight="1">
      <c r="A4" s="258"/>
      <c r="B4" s="258"/>
      <c r="C4" s="258"/>
      <c r="D4" s="262"/>
      <c r="E4" s="263"/>
      <c r="F4" s="259"/>
      <c r="G4" s="258"/>
      <c r="H4" s="261"/>
      <c r="I4" s="261"/>
      <c r="J4" s="265"/>
      <c r="K4" s="265"/>
      <c r="L4" s="265"/>
      <c r="M4" s="265"/>
      <c r="N4" s="265"/>
      <c r="O4" s="208">
        <f t="shared" si="0"/>
        <v>0</v>
      </c>
    </row>
    <row r="5" spans="1:15" ht="131.25">
      <c r="A5" s="79">
        <v>3</v>
      </c>
      <c r="B5" s="79" t="s">
        <v>354</v>
      </c>
      <c r="C5" s="79">
        <v>2</v>
      </c>
      <c r="D5" s="108">
        <v>1</v>
      </c>
      <c r="E5" s="190" t="s">
        <v>282</v>
      </c>
      <c r="F5" s="112" t="s">
        <v>291</v>
      </c>
      <c r="G5" s="258" t="s">
        <v>279</v>
      </c>
      <c r="H5" s="79">
        <v>0</v>
      </c>
      <c r="I5" s="188">
        <v>0</v>
      </c>
      <c r="J5" s="111"/>
      <c r="K5" s="111"/>
      <c r="L5" s="111"/>
      <c r="M5" s="111"/>
      <c r="N5" s="111"/>
      <c r="O5" s="208">
        <f t="shared" si="0"/>
        <v>1</v>
      </c>
    </row>
    <row r="6" spans="1:15" ht="75" customHeight="1">
      <c r="A6" s="79">
        <v>4</v>
      </c>
      <c r="B6" s="79" t="s">
        <v>355</v>
      </c>
      <c r="C6" s="79">
        <v>1</v>
      </c>
      <c r="D6" s="108">
        <v>1</v>
      </c>
      <c r="E6" s="190" t="s">
        <v>283</v>
      </c>
      <c r="F6" s="191" t="s">
        <v>292</v>
      </c>
      <c r="G6" s="258"/>
      <c r="H6" s="79">
        <v>0</v>
      </c>
      <c r="I6" s="188">
        <v>0</v>
      </c>
      <c r="J6" s="111"/>
      <c r="K6" s="111"/>
      <c r="L6" s="111"/>
      <c r="M6" s="111"/>
      <c r="N6" s="111"/>
      <c r="O6" s="208">
        <f t="shared" si="0"/>
        <v>1</v>
      </c>
    </row>
    <row r="7" spans="1:15" ht="75">
      <c r="A7" s="190">
        <v>5</v>
      </c>
      <c r="B7" s="79" t="s">
        <v>356</v>
      </c>
      <c r="C7" s="190">
        <v>22</v>
      </c>
      <c r="D7" s="108">
        <v>6</v>
      </c>
      <c r="E7" s="190" t="s">
        <v>284</v>
      </c>
      <c r="F7" s="112" t="s">
        <v>286</v>
      </c>
      <c r="G7" s="79" t="s">
        <v>285</v>
      </c>
      <c r="H7" s="79">
        <v>0</v>
      </c>
      <c r="I7" s="188">
        <v>0</v>
      </c>
      <c r="J7" s="111"/>
      <c r="K7" s="111"/>
      <c r="L7" s="111"/>
      <c r="M7" s="111"/>
      <c r="N7" s="111"/>
      <c r="O7" s="208">
        <f t="shared" si="0"/>
        <v>6</v>
      </c>
    </row>
    <row r="8" spans="1:15" ht="206.25">
      <c r="A8" s="79">
        <v>6</v>
      </c>
      <c r="B8" s="79" t="s">
        <v>357</v>
      </c>
      <c r="C8" s="79">
        <v>2</v>
      </c>
      <c r="D8" s="108">
        <v>1</v>
      </c>
      <c r="E8" s="190" t="s">
        <v>287</v>
      </c>
      <c r="F8" s="112" t="s">
        <v>293</v>
      </c>
      <c r="G8" s="110" t="s">
        <v>288</v>
      </c>
      <c r="H8" s="79">
        <v>0</v>
      </c>
      <c r="I8" s="188">
        <v>0</v>
      </c>
      <c r="J8" s="111"/>
      <c r="K8" s="111"/>
      <c r="L8" s="111"/>
      <c r="M8" s="111"/>
      <c r="N8" s="111"/>
      <c r="O8" s="208">
        <f t="shared" si="0"/>
        <v>1</v>
      </c>
    </row>
    <row r="9" spans="1:15">
      <c r="A9" s="188"/>
      <c r="B9" s="188" t="s">
        <v>697</v>
      </c>
      <c r="C9" s="188">
        <v>6</v>
      </c>
      <c r="D9" s="189">
        <v>2</v>
      </c>
      <c r="E9" s="190"/>
      <c r="F9" s="112"/>
      <c r="G9" s="199"/>
      <c r="H9" s="188">
        <v>1</v>
      </c>
      <c r="I9" s="188">
        <v>1</v>
      </c>
      <c r="J9" s="111"/>
      <c r="K9" s="111"/>
      <c r="L9" s="111"/>
      <c r="M9" s="111"/>
      <c r="N9" s="111"/>
      <c r="O9" s="208">
        <f t="shared" si="0"/>
        <v>1</v>
      </c>
    </row>
    <row r="10" spans="1:15">
      <c r="A10" s="188"/>
      <c r="B10" s="188" t="s">
        <v>698</v>
      </c>
      <c r="C10" s="188">
        <v>1</v>
      </c>
      <c r="D10" s="189">
        <v>1</v>
      </c>
      <c r="E10" s="190"/>
      <c r="F10" s="112"/>
      <c r="G10" s="199"/>
      <c r="H10" s="188">
        <v>1</v>
      </c>
      <c r="I10" s="188">
        <v>1</v>
      </c>
      <c r="J10" s="111"/>
      <c r="K10" s="111"/>
      <c r="L10" s="111"/>
      <c r="M10" s="111"/>
      <c r="N10" s="111"/>
      <c r="O10" s="208">
        <f t="shared" si="0"/>
        <v>0</v>
      </c>
    </row>
    <row r="11" spans="1:15">
      <c r="A11" s="188"/>
      <c r="B11" s="188"/>
      <c r="C11" s="188"/>
      <c r="D11" s="189"/>
      <c r="E11" s="190"/>
      <c r="F11" s="112"/>
      <c r="G11" s="199"/>
      <c r="H11" s="188"/>
      <c r="I11" s="188"/>
      <c r="J11" s="111"/>
      <c r="K11" s="111"/>
      <c r="L11" s="111"/>
      <c r="M11" s="111"/>
      <c r="N11" s="111"/>
      <c r="O11" s="208"/>
    </row>
    <row r="12" spans="1:15">
      <c r="A12" s="111"/>
      <c r="B12" s="79"/>
      <c r="C12" s="192">
        <f>SUM(C2:C8)</f>
        <v>46</v>
      </c>
      <c r="D12" s="193"/>
      <c r="E12" s="193"/>
      <c r="F12" s="111"/>
      <c r="G12" s="79"/>
      <c r="H12" s="79"/>
      <c r="I12" s="111"/>
      <c r="J12" s="111"/>
      <c r="K12" s="111"/>
      <c r="L12" s="111"/>
      <c r="M12" s="111"/>
      <c r="N12" s="111"/>
      <c r="O12" s="208">
        <f t="shared" si="0"/>
        <v>0</v>
      </c>
    </row>
    <row r="13" spans="1:15">
      <c r="C13" s="194"/>
      <c r="D13" s="194"/>
      <c r="E13" s="194"/>
    </row>
    <row r="14" spans="1:15">
      <c r="C14" s="194"/>
      <c r="D14" s="194"/>
      <c r="E14" s="194"/>
    </row>
    <row r="15" spans="1:15">
      <c r="C15" s="194"/>
      <c r="D15" s="194"/>
      <c r="E15" s="194"/>
    </row>
    <row r="16" spans="1:15">
      <c r="C16" s="194"/>
      <c r="D16" s="194"/>
      <c r="E16" s="194"/>
    </row>
    <row r="17" spans="3:5">
      <c r="C17" s="194"/>
      <c r="D17" s="194"/>
      <c r="E17" s="194"/>
    </row>
    <row r="18" spans="3:5">
      <c r="C18" s="194"/>
      <c r="D18" s="194"/>
      <c r="E18" s="194"/>
    </row>
  </sheetData>
  <mergeCells count="15">
    <mergeCell ref="J3:J4"/>
    <mergeCell ref="K3:K4"/>
    <mergeCell ref="L3:L4"/>
    <mergeCell ref="M3:M4"/>
    <mergeCell ref="N3:N4"/>
    <mergeCell ref="A3:A4"/>
    <mergeCell ref="C3:C4"/>
    <mergeCell ref="D3:D4"/>
    <mergeCell ref="E3:E4"/>
    <mergeCell ref="I3:I4"/>
    <mergeCell ref="G5:G6"/>
    <mergeCell ref="F3:F4"/>
    <mergeCell ref="G3:G4"/>
    <mergeCell ref="B3:B4"/>
    <mergeCell ref="H3:H4"/>
  </mergeCells>
  <pageMargins left="0.63" right="0.7" top="0.75" bottom="0.75" header="0.3" footer="0.3"/>
  <pageSetup scale="4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63"/>
  <sheetViews>
    <sheetView topLeftCell="A16" zoomScale="70" zoomScaleNormal="70" workbookViewId="0">
      <selection activeCell="O25" sqref="O25"/>
    </sheetView>
  </sheetViews>
  <sheetFormatPr defaultRowHeight="15"/>
  <cols>
    <col min="1" max="1" width="6.5703125" customWidth="1"/>
    <col min="2" max="2" width="34.5703125" customWidth="1"/>
    <col min="5" max="5" width="19.28515625" customWidth="1"/>
    <col min="6" max="6" width="58.85546875" customWidth="1"/>
    <col min="7" max="7" width="38" customWidth="1"/>
    <col min="15" max="15" width="23.28515625" customWidth="1"/>
  </cols>
  <sheetData>
    <row r="1" spans="1:15" ht="25.5" customHeight="1">
      <c r="A1" s="54" t="s">
        <v>35</v>
      </c>
      <c r="B1" s="52" t="s">
        <v>137</v>
      </c>
      <c r="C1" s="52" t="s">
        <v>37</v>
      </c>
      <c r="D1" s="52" t="s">
        <v>38</v>
      </c>
      <c r="E1" s="52" t="s">
        <v>0</v>
      </c>
      <c r="F1" s="52" t="s">
        <v>39</v>
      </c>
      <c r="G1" s="54" t="s">
        <v>41</v>
      </c>
      <c r="H1" s="44" t="s">
        <v>419</v>
      </c>
      <c r="I1" s="52" t="s">
        <v>609</v>
      </c>
      <c r="J1" s="52" t="s">
        <v>610</v>
      </c>
      <c r="K1" s="52" t="s">
        <v>611</v>
      </c>
      <c r="L1" s="52" t="s">
        <v>612</v>
      </c>
      <c r="M1" s="52" t="s">
        <v>613</v>
      </c>
      <c r="N1" s="52" t="s">
        <v>614</v>
      </c>
      <c r="O1" s="211" t="s">
        <v>693</v>
      </c>
    </row>
    <row r="2" spans="1:15" ht="45">
      <c r="A2" s="59">
        <v>1</v>
      </c>
      <c r="B2" s="22" t="s">
        <v>401</v>
      </c>
      <c r="C2" s="62" t="s">
        <v>381</v>
      </c>
      <c r="D2" s="61">
        <v>2</v>
      </c>
      <c r="E2" s="62"/>
      <c r="F2" s="22" t="s">
        <v>399</v>
      </c>
      <c r="G2" s="6" t="s">
        <v>363</v>
      </c>
      <c r="H2" s="99">
        <v>0</v>
      </c>
      <c r="I2" s="99">
        <v>0</v>
      </c>
      <c r="J2" s="8"/>
      <c r="K2" s="8"/>
      <c r="L2" s="8"/>
      <c r="M2" s="8"/>
      <c r="N2" s="8"/>
      <c r="O2" s="208">
        <f>SUM(D2-H2)</f>
        <v>2</v>
      </c>
    </row>
    <row r="3" spans="1:15" ht="60">
      <c r="A3" s="59">
        <v>2</v>
      </c>
      <c r="B3" s="22" t="s">
        <v>402</v>
      </c>
      <c r="C3" s="62" t="s">
        <v>382</v>
      </c>
      <c r="D3" s="61">
        <v>6</v>
      </c>
      <c r="E3" s="62"/>
      <c r="F3" s="40" t="s">
        <v>400</v>
      </c>
      <c r="G3" s="68" t="s">
        <v>364</v>
      </c>
      <c r="H3" s="99">
        <v>6</v>
      </c>
      <c r="I3" s="99">
        <v>5</v>
      </c>
      <c r="J3" s="8"/>
      <c r="K3" s="8"/>
      <c r="L3" s="8"/>
      <c r="M3" s="8"/>
      <c r="N3" s="8"/>
      <c r="O3" s="208">
        <f t="shared" ref="O3:O23" si="0">SUM(D3-H3)</f>
        <v>0</v>
      </c>
    </row>
    <row r="4" spans="1:15" ht="120">
      <c r="A4" s="75">
        <v>3</v>
      </c>
      <c r="B4" s="64" t="s">
        <v>403</v>
      </c>
      <c r="C4" s="62" t="s">
        <v>383</v>
      </c>
      <c r="D4" s="61">
        <v>1</v>
      </c>
      <c r="E4" s="62"/>
      <c r="F4" s="22" t="s">
        <v>404</v>
      </c>
      <c r="G4" s="59" t="s">
        <v>365</v>
      </c>
      <c r="H4" s="99">
        <v>0</v>
      </c>
      <c r="I4" s="99">
        <v>1</v>
      </c>
      <c r="J4" s="8"/>
      <c r="K4" s="8"/>
      <c r="L4" s="8"/>
      <c r="M4" s="8"/>
      <c r="N4" s="8"/>
      <c r="O4" s="208">
        <f t="shared" si="0"/>
        <v>1</v>
      </c>
    </row>
    <row r="5" spans="1:15" ht="90">
      <c r="A5" s="39">
        <v>4</v>
      </c>
      <c r="B5" s="64" t="s">
        <v>405</v>
      </c>
      <c r="C5" s="62" t="s">
        <v>384</v>
      </c>
      <c r="D5" s="61">
        <v>2</v>
      </c>
      <c r="E5" s="62"/>
      <c r="F5" s="22" t="s">
        <v>397</v>
      </c>
      <c r="G5" s="60" t="s">
        <v>366</v>
      </c>
      <c r="H5" s="99">
        <v>2</v>
      </c>
      <c r="I5" s="99">
        <v>4</v>
      </c>
      <c r="J5" s="8"/>
      <c r="K5" s="8"/>
      <c r="L5" s="8"/>
      <c r="M5" s="8"/>
      <c r="N5" s="8"/>
      <c r="O5" s="208">
        <f t="shared" si="0"/>
        <v>0</v>
      </c>
    </row>
    <row r="6" spans="1:15" ht="30">
      <c r="A6" s="59">
        <v>5</v>
      </c>
      <c r="B6" s="22" t="s">
        <v>406</v>
      </c>
      <c r="C6" s="62" t="s">
        <v>385</v>
      </c>
      <c r="D6" s="61">
        <v>3</v>
      </c>
      <c r="E6" s="62"/>
      <c r="F6" s="22" t="s">
        <v>379</v>
      </c>
      <c r="G6" s="66" t="s">
        <v>380</v>
      </c>
      <c r="H6" s="99">
        <v>0</v>
      </c>
      <c r="I6" s="99">
        <v>0</v>
      </c>
      <c r="J6" s="8"/>
      <c r="K6" s="8"/>
      <c r="L6" s="8"/>
      <c r="M6" s="8"/>
      <c r="N6" s="8"/>
      <c r="O6" s="208">
        <f t="shared" si="0"/>
        <v>3</v>
      </c>
    </row>
    <row r="7" spans="1:15" ht="45">
      <c r="A7" s="59">
        <v>6</v>
      </c>
      <c r="B7" s="19" t="s">
        <v>407</v>
      </c>
      <c r="C7" s="62" t="s">
        <v>384</v>
      </c>
      <c r="D7" s="61"/>
      <c r="E7" s="62"/>
      <c r="F7" s="40" t="s">
        <v>396</v>
      </c>
      <c r="G7" s="67" t="s">
        <v>386</v>
      </c>
      <c r="H7" s="99">
        <v>0</v>
      </c>
      <c r="I7" s="99">
        <v>0</v>
      </c>
      <c r="J7" s="8"/>
      <c r="K7" s="8"/>
      <c r="L7" s="8"/>
      <c r="M7" s="8"/>
      <c r="N7" s="8"/>
      <c r="O7" s="208">
        <f t="shared" si="0"/>
        <v>0</v>
      </c>
    </row>
    <row r="8" spans="1:15">
      <c r="A8" s="62">
        <v>7</v>
      </c>
      <c r="B8" s="64" t="s">
        <v>408</v>
      </c>
      <c r="C8" s="62" t="s">
        <v>387</v>
      </c>
      <c r="D8" s="61"/>
      <c r="E8" s="62"/>
      <c r="F8" s="22" t="s">
        <v>367</v>
      </c>
      <c r="G8" s="59" t="s">
        <v>388</v>
      </c>
      <c r="H8" s="99">
        <v>0</v>
      </c>
      <c r="I8" s="99">
        <v>0</v>
      </c>
      <c r="J8" s="8"/>
      <c r="K8" s="8"/>
      <c r="L8" s="8"/>
      <c r="M8" s="8"/>
      <c r="N8" s="8"/>
      <c r="O8" s="208">
        <f t="shared" si="0"/>
        <v>0</v>
      </c>
    </row>
    <row r="9" spans="1:15" ht="75">
      <c r="A9" s="39">
        <v>8</v>
      </c>
      <c r="B9" s="64" t="s">
        <v>418</v>
      </c>
      <c r="C9" s="62" t="s">
        <v>384</v>
      </c>
      <c r="D9" s="61">
        <v>2</v>
      </c>
      <c r="E9" s="62"/>
      <c r="F9" s="22" t="s">
        <v>395</v>
      </c>
      <c r="G9" s="60" t="s">
        <v>368</v>
      </c>
      <c r="H9" s="99">
        <v>2</v>
      </c>
      <c r="I9" s="99">
        <v>2</v>
      </c>
      <c r="J9" s="8"/>
      <c r="K9" s="8"/>
      <c r="L9" s="8"/>
      <c r="M9" s="8"/>
      <c r="N9" s="8"/>
      <c r="O9" s="208">
        <f t="shared" si="0"/>
        <v>0</v>
      </c>
    </row>
    <row r="10" spans="1:15">
      <c r="A10" s="224">
        <v>9</v>
      </c>
      <c r="B10" s="269" t="s">
        <v>409</v>
      </c>
      <c r="C10" s="270" t="s">
        <v>383</v>
      </c>
      <c r="D10" s="271">
        <v>1</v>
      </c>
      <c r="E10" s="270"/>
      <c r="F10" s="266" t="s">
        <v>393</v>
      </c>
      <c r="G10" s="268" t="s">
        <v>369</v>
      </c>
      <c r="H10" s="99">
        <v>0</v>
      </c>
      <c r="I10" s="99"/>
      <c r="J10" s="8"/>
      <c r="K10" s="8"/>
      <c r="L10" s="8"/>
      <c r="M10" s="8"/>
      <c r="N10" s="8"/>
      <c r="O10" s="208">
        <f t="shared" si="0"/>
        <v>1</v>
      </c>
    </row>
    <row r="11" spans="1:15" ht="39" customHeight="1">
      <c r="A11" s="224"/>
      <c r="B11" s="269"/>
      <c r="C11" s="270"/>
      <c r="D11" s="271"/>
      <c r="E11" s="270"/>
      <c r="F11" s="267"/>
      <c r="G11" s="268"/>
      <c r="H11" s="99">
        <v>0</v>
      </c>
      <c r="I11" s="99">
        <v>0</v>
      </c>
      <c r="J11" s="8"/>
      <c r="K11" s="8"/>
      <c r="L11" s="8"/>
      <c r="M11" s="8"/>
      <c r="N11" s="8"/>
      <c r="O11" s="208">
        <f t="shared" si="0"/>
        <v>0</v>
      </c>
    </row>
    <row r="12" spans="1:15" ht="45">
      <c r="A12" s="59">
        <v>10</v>
      </c>
      <c r="B12" s="22" t="s">
        <v>414</v>
      </c>
      <c r="C12" s="62" t="s">
        <v>383</v>
      </c>
      <c r="D12" s="61">
        <v>1</v>
      </c>
      <c r="E12" s="62"/>
      <c r="F12" s="22" t="s">
        <v>370</v>
      </c>
      <c r="G12" s="66" t="s">
        <v>371</v>
      </c>
      <c r="H12" s="99">
        <v>0</v>
      </c>
      <c r="I12" s="99">
        <v>0</v>
      </c>
      <c r="J12" s="8"/>
      <c r="K12" s="8"/>
      <c r="L12" s="8"/>
      <c r="M12" s="8"/>
      <c r="N12" s="8"/>
      <c r="O12" s="208">
        <f t="shared" si="0"/>
        <v>1</v>
      </c>
    </row>
    <row r="13" spans="1:15" ht="30">
      <c r="A13" s="59">
        <v>11</v>
      </c>
      <c r="B13" s="19" t="s">
        <v>415</v>
      </c>
      <c r="C13" s="62" t="s">
        <v>383</v>
      </c>
      <c r="D13" s="61">
        <v>1</v>
      </c>
      <c r="E13" s="62"/>
      <c r="F13" s="40" t="s">
        <v>372</v>
      </c>
      <c r="G13" s="6" t="s">
        <v>373</v>
      </c>
      <c r="H13" s="99">
        <v>0</v>
      </c>
      <c r="I13" s="99">
        <v>0</v>
      </c>
      <c r="J13" s="8"/>
      <c r="K13" s="8"/>
      <c r="L13" s="8"/>
      <c r="M13" s="8"/>
      <c r="N13" s="8"/>
      <c r="O13" s="208">
        <f t="shared" si="0"/>
        <v>1</v>
      </c>
    </row>
    <row r="14" spans="1:15" ht="90">
      <c r="A14" s="62">
        <v>12</v>
      </c>
      <c r="B14" s="64" t="s">
        <v>416</v>
      </c>
      <c r="C14" s="62" t="s">
        <v>383</v>
      </c>
      <c r="D14" s="61">
        <v>1</v>
      </c>
      <c r="E14" s="62"/>
      <c r="F14" s="22" t="s">
        <v>390</v>
      </c>
      <c r="G14" s="59" t="s">
        <v>374</v>
      </c>
      <c r="H14" s="99">
        <v>0</v>
      </c>
      <c r="I14" s="99">
        <v>0</v>
      </c>
      <c r="J14" s="8"/>
      <c r="K14" s="8"/>
      <c r="L14" s="8"/>
      <c r="M14" s="8"/>
      <c r="N14" s="8"/>
      <c r="O14" s="208">
        <f t="shared" si="0"/>
        <v>1</v>
      </c>
    </row>
    <row r="15" spans="1:15" ht="105">
      <c r="A15" s="39">
        <v>13</v>
      </c>
      <c r="B15" s="64" t="s">
        <v>417</v>
      </c>
      <c r="C15" s="62" t="s">
        <v>383</v>
      </c>
      <c r="D15" s="61" t="s">
        <v>378</v>
      </c>
      <c r="E15" s="62"/>
      <c r="F15" s="22" t="s">
        <v>391</v>
      </c>
      <c r="G15" s="60" t="s">
        <v>375</v>
      </c>
      <c r="H15" s="99">
        <v>0</v>
      </c>
      <c r="I15" s="99">
        <v>1</v>
      </c>
      <c r="J15" s="8"/>
      <c r="K15" s="8"/>
      <c r="L15" s="8"/>
      <c r="M15" s="8"/>
      <c r="N15" s="8"/>
      <c r="O15" s="208" t="e">
        <f t="shared" si="0"/>
        <v>#VALUE!</v>
      </c>
    </row>
    <row r="16" spans="1:15" ht="135">
      <c r="A16" s="39">
        <v>14</v>
      </c>
      <c r="B16" s="64" t="s">
        <v>410</v>
      </c>
      <c r="C16" s="62" t="s">
        <v>383</v>
      </c>
      <c r="D16" s="61">
        <v>1</v>
      </c>
      <c r="E16" s="62"/>
      <c r="F16" s="22" t="s">
        <v>389</v>
      </c>
      <c r="G16" s="60" t="s">
        <v>376</v>
      </c>
      <c r="H16" s="99">
        <v>0</v>
      </c>
      <c r="I16" s="99">
        <v>0</v>
      </c>
      <c r="J16" s="8"/>
      <c r="K16" s="8"/>
      <c r="L16" s="8"/>
      <c r="M16" s="8"/>
      <c r="N16" s="8"/>
      <c r="O16" s="208">
        <f t="shared" si="0"/>
        <v>1</v>
      </c>
    </row>
    <row r="17" spans="1:15" ht="135">
      <c r="A17" s="39">
        <v>15</v>
      </c>
      <c r="B17" s="64" t="s">
        <v>411</v>
      </c>
      <c r="C17" s="62" t="s">
        <v>383</v>
      </c>
      <c r="D17" s="61">
        <v>1</v>
      </c>
      <c r="E17" s="62"/>
      <c r="F17" s="22" t="s">
        <v>392</v>
      </c>
      <c r="G17" s="60" t="s">
        <v>377</v>
      </c>
      <c r="H17" s="99">
        <v>1</v>
      </c>
      <c r="I17" s="99">
        <v>0</v>
      </c>
      <c r="J17" s="8"/>
      <c r="K17" s="8"/>
      <c r="L17" s="8"/>
      <c r="M17" s="8"/>
      <c r="N17" s="8"/>
      <c r="O17" s="208">
        <f t="shared" si="0"/>
        <v>0</v>
      </c>
    </row>
    <row r="18" spans="1:15" ht="120">
      <c r="A18" s="39">
        <v>16</v>
      </c>
      <c r="B18" s="64" t="s">
        <v>412</v>
      </c>
      <c r="C18" s="62">
        <v>4</v>
      </c>
      <c r="D18" s="61">
        <v>1</v>
      </c>
      <c r="E18" s="62"/>
      <c r="F18" s="69" t="s">
        <v>394</v>
      </c>
      <c r="G18" s="60"/>
      <c r="H18" s="99">
        <v>0</v>
      </c>
      <c r="I18" s="99">
        <v>0</v>
      </c>
      <c r="J18" s="8"/>
      <c r="K18" s="8"/>
      <c r="L18" s="8"/>
      <c r="M18" s="8"/>
      <c r="N18" s="8"/>
      <c r="O18" s="208">
        <f t="shared" si="0"/>
        <v>1</v>
      </c>
    </row>
    <row r="19" spans="1:15" ht="90">
      <c r="A19" s="39">
        <v>17</v>
      </c>
      <c r="B19" s="64" t="s">
        <v>413</v>
      </c>
      <c r="C19" s="65" t="s">
        <v>384</v>
      </c>
      <c r="D19" s="61">
        <v>2</v>
      </c>
      <c r="E19" s="62"/>
      <c r="F19" s="69" t="s">
        <v>398</v>
      </c>
      <c r="G19" s="60"/>
      <c r="H19" s="99">
        <v>0</v>
      </c>
      <c r="I19" s="99">
        <v>0</v>
      </c>
      <c r="J19" s="8"/>
      <c r="K19" s="8"/>
      <c r="L19" s="8"/>
      <c r="M19" s="8"/>
      <c r="N19" s="8"/>
      <c r="O19" s="208">
        <f t="shared" si="0"/>
        <v>2</v>
      </c>
    </row>
    <row r="20" spans="1:15" ht="18.75">
      <c r="A20" s="75">
        <v>18</v>
      </c>
      <c r="B20" s="79" t="s">
        <v>563</v>
      </c>
      <c r="C20" s="78">
        <v>8</v>
      </c>
      <c r="D20" s="78">
        <v>4</v>
      </c>
      <c r="E20" s="78"/>
      <c r="F20" s="22" t="s">
        <v>563</v>
      </c>
      <c r="G20" s="76"/>
      <c r="H20" s="101">
        <v>4</v>
      </c>
      <c r="I20" s="99">
        <v>4</v>
      </c>
      <c r="J20" s="8"/>
      <c r="K20" s="8"/>
      <c r="L20" s="8"/>
      <c r="M20" s="8"/>
      <c r="N20" s="8"/>
      <c r="O20" s="208">
        <f t="shared" si="0"/>
        <v>0</v>
      </c>
    </row>
    <row r="21" spans="1:15" ht="18.75">
      <c r="A21" s="75">
        <v>19</v>
      </c>
      <c r="B21" s="79" t="s">
        <v>564</v>
      </c>
      <c r="C21" s="78">
        <v>8</v>
      </c>
      <c r="D21" s="78">
        <v>10</v>
      </c>
      <c r="E21" s="78"/>
      <c r="F21" s="79" t="s">
        <v>564</v>
      </c>
      <c r="G21" s="76"/>
      <c r="H21" s="101">
        <v>0</v>
      </c>
      <c r="I21" s="99">
        <v>2</v>
      </c>
      <c r="J21" s="8"/>
      <c r="K21" s="8"/>
      <c r="L21" s="8"/>
      <c r="M21" s="8"/>
      <c r="N21" s="8"/>
      <c r="O21" s="208">
        <f t="shared" si="0"/>
        <v>10</v>
      </c>
    </row>
    <row r="22" spans="1:15" ht="18.75">
      <c r="A22" s="75">
        <v>20</v>
      </c>
      <c r="B22" s="79" t="s">
        <v>565</v>
      </c>
      <c r="C22" s="78">
        <v>4</v>
      </c>
      <c r="D22" s="78">
        <v>50</v>
      </c>
      <c r="E22" s="78"/>
      <c r="F22" s="79" t="s">
        <v>565</v>
      </c>
      <c r="G22" s="76"/>
      <c r="H22" s="101">
        <v>0</v>
      </c>
      <c r="I22" s="99">
        <v>0</v>
      </c>
      <c r="J22" s="8"/>
      <c r="K22" s="8"/>
      <c r="L22" s="8"/>
      <c r="M22" s="8"/>
      <c r="N22" s="8"/>
      <c r="O22" s="208">
        <f t="shared" si="0"/>
        <v>50</v>
      </c>
    </row>
    <row r="23" spans="1:15">
      <c r="A23" s="99">
        <v>21</v>
      </c>
      <c r="B23" s="99" t="s">
        <v>699</v>
      </c>
      <c r="C23" s="101">
        <v>8</v>
      </c>
      <c r="D23" s="101">
        <v>8</v>
      </c>
      <c r="E23" s="101"/>
      <c r="F23" s="22"/>
      <c r="G23" s="100"/>
      <c r="H23" s="99">
        <v>2</v>
      </c>
      <c r="I23" s="99">
        <v>2</v>
      </c>
      <c r="J23" s="8"/>
      <c r="K23" s="8"/>
      <c r="L23" s="8"/>
      <c r="M23" s="8"/>
      <c r="N23" s="8"/>
      <c r="O23" s="208">
        <f t="shared" si="0"/>
        <v>6</v>
      </c>
    </row>
    <row r="24" spans="1:15">
      <c r="A24" s="73"/>
      <c r="B24" s="73"/>
      <c r="C24" s="95"/>
      <c r="D24" s="95"/>
      <c r="E24" s="95"/>
      <c r="F24" s="63"/>
      <c r="G24" s="96"/>
    </row>
    <row r="25" spans="1:15">
      <c r="A25" s="39"/>
      <c r="B25" s="73"/>
      <c r="C25" s="95"/>
      <c r="D25" s="95"/>
      <c r="E25" s="95"/>
      <c r="F25" s="63"/>
      <c r="G25" s="96"/>
    </row>
    <row r="26" spans="1:15">
      <c r="A26" s="39"/>
      <c r="B26" s="73"/>
      <c r="C26" s="95"/>
      <c r="D26" s="95"/>
      <c r="E26" s="95"/>
      <c r="F26" s="63"/>
      <c r="G26" s="96"/>
    </row>
    <row r="27" spans="1:15">
      <c r="A27" s="39"/>
      <c r="B27" s="73"/>
      <c r="C27" s="95"/>
      <c r="D27" s="95"/>
      <c r="E27" s="95"/>
      <c r="F27" s="63"/>
      <c r="G27" s="96"/>
    </row>
    <row r="28" spans="1:15">
      <c r="A28" s="39"/>
      <c r="B28" s="73"/>
      <c r="C28" s="95"/>
      <c r="D28" s="95"/>
      <c r="E28" s="95"/>
      <c r="F28" s="63"/>
      <c r="G28" s="96"/>
    </row>
    <row r="29" spans="1:15">
      <c r="A29" s="39"/>
      <c r="B29" s="73"/>
      <c r="C29" s="95"/>
      <c r="D29" s="95"/>
      <c r="E29" s="95"/>
      <c r="F29" s="63"/>
      <c r="G29" s="96"/>
    </row>
    <row r="30" spans="1:15">
      <c r="A30" s="39"/>
      <c r="B30" s="73"/>
      <c r="C30" s="95"/>
      <c r="D30" s="95"/>
      <c r="E30" s="95"/>
      <c r="F30" s="63"/>
      <c r="G30" s="96"/>
    </row>
    <row r="31" spans="1:15">
      <c r="A31" s="39"/>
      <c r="B31" s="73"/>
      <c r="C31" s="95"/>
      <c r="D31" s="95"/>
      <c r="E31" s="95"/>
      <c r="F31" s="63"/>
      <c r="G31" s="96"/>
    </row>
    <row r="32" spans="1:15">
      <c r="A32" s="39"/>
      <c r="B32" s="73"/>
      <c r="C32" s="95"/>
      <c r="D32" s="95"/>
      <c r="E32" s="95"/>
      <c r="F32" s="63"/>
      <c r="G32" s="96"/>
    </row>
    <row r="33" spans="1:7">
      <c r="A33" s="39"/>
      <c r="B33" s="73"/>
      <c r="C33" s="95"/>
      <c r="D33" s="95"/>
      <c r="E33" s="95"/>
      <c r="F33" s="63"/>
      <c r="G33" s="96"/>
    </row>
    <row r="34" spans="1:7">
      <c r="A34" s="39"/>
      <c r="B34" s="73"/>
      <c r="C34" s="95"/>
      <c r="D34" s="95"/>
      <c r="E34" s="95"/>
      <c r="F34" s="63"/>
      <c r="G34" s="96"/>
    </row>
    <row r="35" spans="1:7">
      <c r="A35" s="39"/>
      <c r="B35" s="73"/>
      <c r="C35" s="95"/>
      <c r="D35" s="95"/>
      <c r="E35" s="95"/>
      <c r="F35" s="63"/>
      <c r="G35" s="96"/>
    </row>
    <row r="36" spans="1:7">
      <c r="B36" s="37"/>
      <c r="C36" s="37"/>
      <c r="D36" s="37"/>
      <c r="E36" s="37"/>
      <c r="F36" s="37"/>
      <c r="G36" s="37"/>
    </row>
    <row r="37" spans="1:7">
      <c r="B37" s="37"/>
      <c r="C37" s="37"/>
      <c r="D37" s="37"/>
      <c r="E37" s="37"/>
      <c r="F37" s="37"/>
      <c r="G37" s="37"/>
    </row>
    <row r="38" spans="1:7">
      <c r="B38" s="37"/>
      <c r="C38" s="37"/>
      <c r="D38" s="37"/>
      <c r="E38" s="37"/>
      <c r="F38" s="37"/>
      <c r="G38" s="37"/>
    </row>
    <row r="39" spans="1:7">
      <c r="B39" s="37"/>
      <c r="C39" s="37"/>
      <c r="D39" s="37"/>
      <c r="E39" s="37"/>
      <c r="F39" s="37"/>
      <c r="G39" s="37"/>
    </row>
    <row r="63" spans="6:6">
      <c r="F63" s="39"/>
    </row>
  </sheetData>
  <mergeCells count="7">
    <mergeCell ref="F10:F11"/>
    <mergeCell ref="G10:G11"/>
    <mergeCell ref="A10:A11"/>
    <mergeCell ref="B10:B11"/>
    <mergeCell ref="C10:C11"/>
    <mergeCell ref="D10:D11"/>
    <mergeCell ref="E10:E11"/>
  </mergeCells>
  <pageMargins left="0.7" right="0.7" top="0.75" bottom="0.75" header="0.28000000000000003" footer="0.3"/>
  <pageSetup scale="3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37"/>
  <sheetViews>
    <sheetView workbookViewId="0">
      <selection activeCell="A2" sqref="A1:J1048576"/>
    </sheetView>
  </sheetViews>
  <sheetFormatPr defaultRowHeight="18.75"/>
  <cols>
    <col min="1" max="1" width="9.140625" style="143"/>
    <col min="2" max="2" width="86.42578125" style="143" customWidth="1"/>
    <col min="3" max="3" width="14" style="143" customWidth="1"/>
    <col min="4" max="4" width="22" style="143" customWidth="1"/>
    <col min="5" max="10" width="9.140625" style="143"/>
  </cols>
  <sheetData>
    <row r="1" spans="1:10">
      <c r="A1" s="272" t="s">
        <v>430</v>
      </c>
      <c r="B1" s="273"/>
      <c r="C1" s="273"/>
      <c r="D1" s="273"/>
      <c r="E1" s="273"/>
      <c r="F1" s="273"/>
      <c r="G1" s="273"/>
      <c r="H1" s="273"/>
      <c r="I1" s="273"/>
      <c r="J1" s="274"/>
    </row>
    <row r="2" spans="1:10">
      <c r="A2" s="195" t="s">
        <v>431</v>
      </c>
      <c r="B2" s="196" t="s">
        <v>432</v>
      </c>
      <c r="C2" s="196" t="s">
        <v>433</v>
      </c>
      <c r="D2" s="197" t="s">
        <v>434</v>
      </c>
      <c r="E2" s="107" t="s">
        <v>609</v>
      </c>
      <c r="F2" s="107" t="s">
        <v>610</v>
      </c>
      <c r="G2" s="107" t="s">
        <v>611</v>
      </c>
      <c r="H2" s="107" t="s">
        <v>612</v>
      </c>
      <c r="I2" s="107" t="s">
        <v>613</v>
      </c>
      <c r="J2" s="107" t="s">
        <v>614</v>
      </c>
    </row>
    <row r="3" spans="1:10">
      <c r="A3" s="198">
        <v>1</v>
      </c>
      <c r="B3" s="79" t="s">
        <v>435</v>
      </c>
      <c r="C3" s="190">
        <v>1</v>
      </c>
      <c r="D3" s="275" t="s">
        <v>436</v>
      </c>
      <c r="E3" s="111"/>
      <c r="F3" s="111"/>
      <c r="G3" s="111"/>
      <c r="H3" s="111"/>
      <c r="I3" s="111"/>
      <c r="J3" s="111"/>
    </row>
    <row r="4" spans="1:10">
      <c r="A4" s="198">
        <v>2</v>
      </c>
      <c r="B4" s="79" t="s">
        <v>437</v>
      </c>
      <c r="C4" s="190">
        <v>6</v>
      </c>
      <c r="D4" s="275"/>
      <c r="E4" s="111"/>
      <c r="F4" s="111"/>
      <c r="G4" s="111"/>
      <c r="H4" s="111"/>
      <c r="I4" s="111"/>
      <c r="J4" s="111"/>
    </row>
    <row r="5" spans="1:10">
      <c r="A5" s="198">
        <v>3</v>
      </c>
      <c r="B5" s="79" t="s">
        <v>438</v>
      </c>
      <c r="C5" s="79" t="s">
        <v>439</v>
      </c>
      <c r="D5" s="275"/>
      <c r="E5" s="111"/>
      <c r="F5" s="111"/>
      <c r="G5" s="111"/>
      <c r="H5" s="111"/>
      <c r="I5" s="111"/>
      <c r="J5" s="111"/>
    </row>
    <row r="6" spans="1:10">
      <c r="A6" s="198">
        <v>4</v>
      </c>
      <c r="B6" s="79" t="s">
        <v>440</v>
      </c>
      <c r="C6" s="79">
        <v>1</v>
      </c>
      <c r="D6" s="275"/>
      <c r="E6" s="111"/>
      <c r="F6" s="111"/>
      <c r="G6" s="111"/>
      <c r="H6" s="111"/>
      <c r="I6" s="111"/>
      <c r="J6" s="111"/>
    </row>
    <row r="7" spans="1:10">
      <c r="A7" s="198">
        <v>5</v>
      </c>
      <c r="B7" s="79" t="s">
        <v>441</v>
      </c>
      <c r="C7" s="79">
        <v>4</v>
      </c>
      <c r="D7" s="275"/>
      <c r="E7" s="111"/>
      <c r="F7" s="111"/>
      <c r="G7" s="111"/>
      <c r="H7" s="111"/>
      <c r="I7" s="111"/>
      <c r="J7" s="111"/>
    </row>
    <row r="8" spans="1:10">
      <c r="A8" s="198">
        <v>6</v>
      </c>
      <c r="B8" s="79" t="s">
        <v>442</v>
      </c>
      <c r="C8" s="79">
        <v>2</v>
      </c>
      <c r="D8" s="275"/>
      <c r="E8" s="111"/>
      <c r="F8" s="111"/>
      <c r="G8" s="111"/>
      <c r="H8" s="111"/>
      <c r="I8" s="111"/>
      <c r="J8" s="111"/>
    </row>
    <row r="9" spans="1:10">
      <c r="A9" s="198">
        <v>7</v>
      </c>
      <c r="B9" s="79" t="s">
        <v>443</v>
      </c>
      <c r="C9" s="79">
        <v>2</v>
      </c>
      <c r="D9" s="275"/>
      <c r="E9" s="111"/>
      <c r="F9" s="111"/>
      <c r="G9" s="111"/>
      <c r="H9" s="111"/>
      <c r="I9" s="111"/>
      <c r="J9" s="111"/>
    </row>
    <row r="10" spans="1:10">
      <c r="A10" s="198">
        <v>8</v>
      </c>
      <c r="B10" s="79" t="s">
        <v>444</v>
      </c>
      <c r="C10" s="79">
        <v>4</v>
      </c>
      <c r="D10" s="275"/>
      <c r="E10" s="111"/>
      <c r="F10" s="111"/>
      <c r="G10" s="111"/>
      <c r="H10" s="111"/>
      <c r="I10" s="111"/>
      <c r="J10" s="111"/>
    </row>
    <row r="11" spans="1:10">
      <c r="A11" s="198">
        <v>9</v>
      </c>
      <c r="B11" s="79" t="s">
        <v>445</v>
      </c>
      <c r="C11" s="79">
        <v>2</v>
      </c>
      <c r="D11" s="275"/>
      <c r="E11" s="111"/>
      <c r="F11" s="111"/>
      <c r="G11" s="111"/>
      <c r="H11" s="111"/>
      <c r="I11" s="111"/>
      <c r="J11" s="111"/>
    </row>
    <row r="12" spans="1:10">
      <c r="A12" s="198">
        <v>10</v>
      </c>
      <c r="B12" s="79" t="s">
        <v>446</v>
      </c>
      <c r="C12" s="79">
        <v>13</v>
      </c>
      <c r="D12" s="275"/>
      <c r="E12" s="111"/>
      <c r="F12" s="111"/>
      <c r="G12" s="111"/>
      <c r="H12" s="111"/>
      <c r="I12" s="111"/>
      <c r="J12" s="111"/>
    </row>
    <row r="13" spans="1:10">
      <c r="A13" s="198">
        <v>11</v>
      </c>
      <c r="B13" s="79" t="s">
        <v>447</v>
      </c>
      <c r="C13" s="79">
        <v>19</v>
      </c>
      <c r="D13" s="275"/>
      <c r="E13" s="111"/>
      <c r="F13" s="111"/>
      <c r="G13" s="111"/>
      <c r="H13" s="111"/>
      <c r="I13" s="111"/>
      <c r="J13" s="111"/>
    </row>
    <row r="14" spans="1:10">
      <c r="A14" s="198">
        <v>12</v>
      </c>
      <c r="B14" s="79" t="s">
        <v>448</v>
      </c>
      <c r="C14" s="79">
        <v>1</v>
      </c>
      <c r="D14" s="275"/>
      <c r="E14" s="111"/>
      <c r="F14" s="111"/>
      <c r="G14" s="111"/>
      <c r="H14" s="111"/>
      <c r="I14" s="111"/>
      <c r="J14" s="111"/>
    </row>
    <row r="15" spans="1:10">
      <c r="A15" s="195" t="s">
        <v>431</v>
      </c>
      <c r="B15" s="196" t="s">
        <v>432</v>
      </c>
      <c r="C15" s="196" t="s">
        <v>433</v>
      </c>
      <c r="D15" s="197" t="s">
        <v>434</v>
      </c>
      <c r="E15" s="111"/>
      <c r="F15" s="111"/>
      <c r="G15" s="111"/>
      <c r="H15" s="111"/>
      <c r="I15" s="111"/>
      <c r="J15" s="111"/>
    </row>
    <row r="16" spans="1:10">
      <c r="A16" s="198">
        <v>1</v>
      </c>
      <c r="B16" s="79" t="s">
        <v>449</v>
      </c>
      <c r="C16" s="79">
        <v>1</v>
      </c>
      <c r="D16" s="275" t="s">
        <v>450</v>
      </c>
      <c r="E16" s="111"/>
      <c r="F16" s="111"/>
      <c r="G16" s="111"/>
      <c r="H16" s="111"/>
      <c r="I16" s="111"/>
      <c r="J16" s="111"/>
    </row>
    <row r="17" spans="1:10">
      <c r="A17" s="198">
        <v>2</v>
      </c>
      <c r="B17" s="79" t="s">
        <v>451</v>
      </c>
      <c r="C17" s="79">
        <v>2</v>
      </c>
      <c r="D17" s="275"/>
      <c r="E17" s="111"/>
      <c r="F17" s="111"/>
      <c r="G17" s="111"/>
      <c r="H17" s="111"/>
      <c r="I17" s="111"/>
      <c r="J17" s="111"/>
    </row>
    <row r="18" spans="1:10">
      <c r="A18" s="198">
        <v>3</v>
      </c>
      <c r="B18" s="79" t="s">
        <v>452</v>
      </c>
      <c r="C18" s="190">
        <v>2</v>
      </c>
      <c r="D18" s="275"/>
      <c r="E18" s="111"/>
      <c r="F18" s="111"/>
      <c r="G18" s="111"/>
      <c r="H18" s="111"/>
      <c r="I18" s="111"/>
      <c r="J18" s="111"/>
    </row>
    <row r="19" spans="1:10">
      <c r="A19" s="198">
        <v>4</v>
      </c>
      <c r="B19" s="79" t="s">
        <v>453</v>
      </c>
      <c r="C19" s="79">
        <v>2</v>
      </c>
      <c r="D19" s="275"/>
      <c r="E19" s="111"/>
      <c r="F19" s="111"/>
      <c r="G19" s="111"/>
      <c r="H19" s="111"/>
      <c r="I19" s="111"/>
      <c r="J19" s="111"/>
    </row>
    <row r="20" spans="1:10">
      <c r="A20" s="198">
        <v>5</v>
      </c>
      <c r="B20" s="79" t="s">
        <v>454</v>
      </c>
      <c r="C20" s="79">
        <v>1</v>
      </c>
      <c r="D20" s="275"/>
      <c r="E20" s="111"/>
      <c r="F20" s="111"/>
      <c r="G20" s="111"/>
      <c r="H20" s="111"/>
      <c r="I20" s="111"/>
      <c r="J20" s="111"/>
    </row>
    <row r="21" spans="1:10">
      <c r="A21" s="198">
        <v>6</v>
      </c>
      <c r="B21" s="79" t="s">
        <v>455</v>
      </c>
      <c r="C21" s="190" t="s">
        <v>456</v>
      </c>
      <c r="D21" s="275"/>
      <c r="E21" s="111"/>
      <c r="F21" s="111"/>
      <c r="G21" s="111"/>
      <c r="H21" s="111"/>
      <c r="I21" s="111"/>
      <c r="J21" s="111"/>
    </row>
    <row r="22" spans="1:10">
      <c r="A22" s="198">
        <v>7</v>
      </c>
      <c r="B22" s="79" t="s">
        <v>457</v>
      </c>
      <c r="C22" s="79">
        <v>2</v>
      </c>
      <c r="D22" s="275"/>
      <c r="E22" s="111"/>
      <c r="F22" s="111"/>
      <c r="G22" s="111"/>
      <c r="H22" s="111"/>
      <c r="I22" s="111"/>
      <c r="J22" s="111"/>
    </row>
    <row r="23" spans="1:10">
      <c r="A23" s="198">
        <v>8</v>
      </c>
      <c r="B23" s="79" t="s">
        <v>458</v>
      </c>
      <c r="C23" s="79">
        <v>7</v>
      </c>
      <c r="D23" s="275"/>
      <c r="E23" s="111"/>
      <c r="F23" s="111"/>
      <c r="G23" s="111"/>
      <c r="H23" s="111"/>
      <c r="I23" s="111"/>
      <c r="J23" s="111"/>
    </row>
    <row r="24" spans="1:10">
      <c r="A24" s="198">
        <v>9</v>
      </c>
      <c r="B24" s="79" t="s">
        <v>459</v>
      </c>
      <c r="C24" s="79">
        <v>2</v>
      </c>
      <c r="D24" s="275"/>
      <c r="E24" s="111"/>
      <c r="F24" s="111"/>
      <c r="G24" s="111"/>
      <c r="H24" s="111"/>
      <c r="I24" s="111"/>
      <c r="J24" s="111"/>
    </row>
    <row r="25" spans="1:10">
      <c r="A25" s="198">
        <v>10</v>
      </c>
      <c r="B25" s="79" t="s">
        <v>460</v>
      </c>
      <c r="C25" s="79">
        <v>15</v>
      </c>
      <c r="D25" s="275"/>
      <c r="E25" s="111"/>
      <c r="F25" s="111"/>
      <c r="G25" s="111"/>
      <c r="H25" s="111"/>
      <c r="I25" s="111"/>
      <c r="J25" s="111"/>
    </row>
    <row r="26" spans="1:10">
      <c r="A26" s="198">
        <v>11</v>
      </c>
      <c r="B26" s="79" t="s">
        <v>443</v>
      </c>
      <c r="C26" s="79">
        <v>2</v>
      </c>
      <c r="D26" s="275"/>
      <c r="E26" s="111"/>
      <c r="F26" s="111"/>
      <c r="G26" s="111"/>
      <c r="H26" s="111"/>
      <c r="I26" s="111"/>
      <c r="J26" s="111"/>
    </row>
    <row r="27" spans="1:10">
      <c r="A27" s="198">
        <v>12</v>
      </c>
      <c r="B27" s="79" t="s">
        <v>461</v>
      </c>
      <c r="C27" s="79">
        <v>4</v>
      </c>
      <c r="D27" s="275"/>
      <c r="E27" s="111"/>
      <c r="F27" s="111"/>
      <c r="G27" s="111"/>
      <c r="H27" s="111"/>
      <c r="I27" s="111"/>
      <c r="J27" s="111"/>
    </row>
    <row r="28" spans="1:10">
      <c r="A28" s="198">
        <v>13</v>
      </c>
      <c r="B28" s="79" t="s">
        <v>462</v>
      </c>
      <c r="C28" s="79">
        <v>1</v>
      </c>
      <c r="D28" s="275"/>
      <c r="E28" s="111"/>
      <c r="F28" s="111"/>
      <c r="G28" s="111"/>
      <c r="H28" s="111"/>
      <c r="I28" s="111"/>
      <c r="J28" s="111"/>
    </row>
    <row r="29" spans="1:10">
      <c r="A29" s="198">
        <v>14</v>
      </c>
      <c r="B29" s="79" t="s">
        <v>463</v>
      </c>
      <c r="C29" s="79">
        <v>1</v>
      </c>
      <c r="D29" s="275"/>
      <c r="E29" s="111"/>
      <c r="F29" s="111"/>
      <c r="G29" s="111"/>
      <c r="H29" s="111"/>
      <c r="I29" s="111"/>
      <c r="J29" s="111"/>
    </row>
    <row r="30" spans="1:10">
      <c r="A30" s="198">
        <v>15</v>
      </c>
      <c r="B30" s="79" t="s">
        <v>464</v>
      </c>
      <c r="C30" s="79">
        <v>1</v>
      </c>
      <c r="D30" s="275"/>
      <c r="E30" s="111"/>
      <c r="F30" s="111"/>
      <c r="G30" s="111"/>
      <c r="H30" s="111"/>
      <c r="I30" s="111"/>
      <c r="J30" s="111"/>
    </row>
    <row r="31" spans="1:10">
      <c r="A31" s="198">
        <v>16</v>
      </c>
      <c r="B31" s="79" t="s">
        <v>465</v>
      </c>
      <c r="C31" s="79">
        <v>1</v>
      </c>
      <c r="D31" s="275"/>
      <c r="E31" s="111"/>
      <c r="F31" s="111"/>
      <c r="G31" s="111"/>
      <c r="H31" s="111"/>
      <c r="I31" s="111"/>
      <c r="J31" s="111"/>
    </row>
    <row r="32" spans="1:10">
      <c r="A32" s="198">
        <v>17</v>
      </c>
      <c r="B32" s="79" t="s">
        <v>466</v>
      </c>
      <c r="C32" s="79">
        <v>5</v>
      </c>
      <c r="D32" s="275"/>
      <c r="E32" s="111"/>
      <c r="F32" s="111"/>
      <c r="G32" s="111"/>
      <c r="H32" s="111"/>
      <c r="I32" s="111"/>
      <c r="J32" s="111"/>
    </row>
    <row r="33" spans="1:10">
      <c r="A33" s="198">
        <v>18</v>
      </c>
      <c r="B33" s="79" t="s">
        <v>467</v>
      </c>
      <c r="C33" s="79">
        <v>2</v>
      </c>
      <c r="D33" s="275"/>
      <c r="E33" s="111"/>
      <c r="F33" s="111"/>
      <c r="G33" s="111"/>
      <c r="H33" s="111"/>
      <c r="I33" s="111"/>
      <c r="J33" s="111"/>
    </row>
    <row r="34" spans="1:10">
      <c r="A34" s="198">
        <v>19</v>
      </c>
      <c r="B34" s="79" t="s">
        <v>468</v>
      </c>
      <c r="C34" s="79">
        <v>6</v>
      </c>
      <c r="D34" s="275"/>
      <c r="E34" s="111"/>
      <c r="F34" s="111"/>
      <c r="G34" s="111"/>
      <c r="H34" s="111"/>
      <c r="I34" s="111"/>
      <c r="J34" s="111"/>
    </row>
    <row r="35" spans="1:10">
      <c r="A35" s="198">
        <v>20</v>
      </c>
      <c r="B35" s="79" t="s">
        <v>469</v>
      </c>
      <c r="C35" s="79">
        <v>47</v>
      </c>
      <c r="D35" s="275"/>
      <c r="E35" s="111"/>
      <c r="F35" s="111"/>
      <c r="G35" s="111"/>
      <c r="H35" s="111"/>
      <c r="I35" s="111"/>
      <c r="J35" s="111"/>
    </row>
    <row r="36" spans="1:10">
      <c r="A36" s="198">
        <v>21</v>
      </c>
      <c r="B36" s="79" t="s">
        <v>470</v>
      </c>
      <c r="C36" s="79">
        <v>48</v>
      </c>
      <c r="D36" s="275"/>
      <c r="E36" s="111"/>
      <c r="F36" s="111"/>
      <c r="G36" s="111"/>
      <c r="H36" s="111"/>
      <c r="I36" s="111"/>
      <c r="J36" s="111"/>
    </row>
    <row r="37" spans="1:10">
      <c r="A37" s="198">
        <v>22</v>
      </c>
      <c r="B37" s="79" t="s">
        <v>471</v>
      </c>
      <c r="C37" s="79">
        <v>33</v>
      </c>
      <c r="D37" s="275"/>
      <c r="E37" s="111"/>
      <c r="F37" s="111"/>
      <c r="G37" s="111"/>
      <c r="H37" s="111"/>
      <c r="I37" s="111"/>
      <c r="J37" s="111"/>
    </row>
    <row r="38" spans="1:10">
      <c r="A38" s="198">
        <v>23</v>
      </c>
      <c r="B38" s="79" t="s">
        <v>472</v>
      </c>
      <c r="C38" s="79">
        <v>37</v>
      </c>
      <c r="D38" s="275"/>
      <c r="E38" s="111"/>
      <c r="F38" s="111"/>
      <c r="G38" s="111"/>
      <c r="H38" s="111"/>
      <c r="I38" s="111"/>
      <c r="J38" s="111"/>
    </row>
    <row r="39" spans="1:10">
      <c r="A39" s="198">
        <v>24</v>
      </c>
      <c r="B39" s="79" t="s">
        <v>473</v>
      </c>
      <c r="C39" s="79">
        <v>30</v>
      </c>
      <c r="D39" s="275"/>
      <c r="E39" s="111"/>
      <c r="F39" s="111"/>
      <c r="G39" s="111"/>
      <c r="H39" s="111"/>
      <c r="I39" s="111"/>
      <c r="J39" s="111"/>
    </row>
    <row r="40" spans="1:10">
      <c r="A40" s="198">
        <v>25</v>
      </c>
      <c r="B40" s="79" t="s">
        <v>474</v>
      </c>
      <c r="C40" s="79">
        <v>1</v>
      </c>
      <c r="D40" s="275"/>
      <c r="E40" s="111"/>
      <c r="F40" s="111"/>
      <c r="G40" s="111"/>
      <c r="H40" s="111"/>
      <c r="I40" s="111"/>
      <c r="J40" s="111"/>
    </row>
    <row r="41" spans="1:10">
      <c r="A41" s="198">
        <v>26</v>
      </c>
      <c r="B41" s="79" t="s">
        <v>475</v>
      </c>
      <c r="C41" s="79">
        <v>45</v>
      </c>
      <c r="D41" s="275"/>
      <c r="E41" s="111"/>
      <c r="F41" s="111"/>
      <c r="G41" s="111"/>
      <c r="H41" s="111"/>
      <c r="I41" s="111"/>
      <c r="J41" s="111"/>
    </row>
    <row r="42" spans="1:10">
      <c r="A42" s="198">
        <v>27</v>
      </c>
      <c r="B42" s="79" t="s">
        <v>476</v>
      </c>
      <c r="C42" s="79">
        <v>100</v>
      </c>
      <c r="D42" s="275"/>
      <c r="E42" s="111"/>
      <c r="F42" s="111"/>
      <c r="G42" s="111"/>
      <c r="H42" s="111"/>
      <c r="I42" s="111"/>
      <c r="J42" s="111"/>
    </row>
    <row r="43" spans="1:10">
      <c r="A43" s="198">
        <v>28</v>
      </c>
      <c r="B43" s="79" t="s">
        <v>477</v>
      </c>
      <c r="C43" s="79">
        <v>50</v>
      </c>
      <c r="D43" s="275"/>
      <c r="E43" s="111"/>
      <c r="F43" s="111"/>
      <c r="G43" s="111"/>
      <c r="H43" s="111"/>
      <c r="I43" s="111"/>
      <c r="J43" s="111"/>
    </row>
    <row r="44" spans="1:10">
      <c r="A44" s="198">
        <v>29</v>
      </c>
      <c r="B44" s="79" t="s">
        <v>478</v>
      </c>
      <c r="C44" s="79">
        <v>1</v>
      </c>
      <c r="D44" s="275"/>
      <c r="E44" s="111"/>
      <c r="F44" s="111"/>
      <c r="G44" s="111"/>
      <c r="H44" s="111"/>
      <c r="I44" s="111"/>
      <c r="J44" s="111"/>
    </row>
    <row r="45" spans="1:10">
      <c r="A45" s="198">
        <v>30</v>
      </c>
      <c r="B45" s="79" t="s">
        <v>479</v>
      </c>
      <c r="C45" s="79" t="s">
        <v>480</v>
      </c>
      <c r="D45" s="275"/>
      <c r="E45" s="111"/>
      <c r="F45" s="111"/>
      <c r="G45" s="111"/>
      <c r="H45" s="111"/>
      <c r="I45" s="111"/>
      <c r="J45" s="111"/>
    </row>
    <row r="46" spans="1:10">
      <c r="A46" s="198">
        <v>31</v>
      </c>
      <c r="B46" s="79" t="s">
        <v>481</v>
      </c>
      <c r="C46" s="79" t="s">
        <v>482</v>
      </c>
      <c r="D46" s="275"/>
      <c r="E46" s="111"/>
      <c r="F46" s="111"/>
      <c r="G46" s="111"/>
      <c r="H46" s="111"/>
      <c r="I46" s="111"/>
      <c r="J46" s="111"/>
    </row>
    <row r="47" spans="1:10">
      <c r="A47" s="195" t="s">
        <v>431</v>
      </c>
      <c r="B47" s="196" t="s">
        <v>432</v>
      </c>
      <c r="C47" s="196" t="s">
        <v>433</v>
      </c>
      <c r="D47" s="197" t="s">
        <v>434</v>
      </c>
      <c r="E47" s="111"/>
      <c r="F47" s="111"/>
      <c r="G47" s="111"/>
      <c r="H47" s="111"/>
      <c r="I47" s="111"/>
      <c r="J47" s="111"/>
    </row>
    <row r="48" spans="1:10">
      <c r="A48" s="198">
        <v>1</v>
      </c>
      <c r="B48" s="79" t="s">
        <v>483</v>
      </c>
      <c r="C48" s="79">
        <v>16</v>
      </c>
      <c r="D48" s="275" t="s">
        <v>484</v>
      </c>
      <c r="E48" s="111"/>
      <c r="F48" s="111"/>
      <c r="G48" s="111"/>
      <c r="H48" s="111"/>
      <c r="I48" s="111"/>
      <c r="J48" s="111"/>
    </row>
    <row r="49" spans="1:10">
      <c r="A49" s="198">
        <v>2</v>
      </c>
      <c r="B49" s="79" t="s">
        <v>485</v>
      </c>
      <c r="C49" s="79">
        <v>50</v>
      </c>
      <c r="D49" s="275"/>
      <c r="E49" s="111"/>
      <c r="F49" s="111"/>
      <c r="G49" s="111"/>
      <c r="H49" s="111"/>
      <c r="I49" s="111"/>
      <c r="J49" s="111"/>
    </row>
    <row r="50" spans="1:10">
      <c r="A50" s="198">
        <v>3</v>
      </c>
      <c r="B50" s="79" t="s">
        <v>486</v>
      </c>
      <c r="C50" s="79">
        <v>10</v>
      </c>
      <c r="D50" s="275"/>
      <c r="E50" s="111"/>
      <c r="F50" s="111"/>
      <c r="G50" s="111"/>
      <c r="H50" s="111"/>
      <c r="I50" s="111"/>
      <c r="J50" s="111"/>
    </row>
    <row r="51" spans="1:10">
      <c r="A51" s="198">
        <v>4</v>
      </c>
      <c r="B51" s="79" t="s">
        <v>487</v>
      </c>
      <c r="C51" s="79">
        <v>40</v>
      </c>
      <c r="D51" s="275"/>
      <c r="E51" s="111"/>
      <c r="F51" s="111"/>
      <c r="G51" s="111"/>
      <c r="H51" s="111"/>
      <c r="I51" s="111"/>
      <c r="J51" s="111"/>
    </row>
    <row r="52" spans="1:10">
      <c r="A52" s="198">
        <v>5</v>
      </c>
      <c r="B52" s="79" t="s">
        <v>488</v>
      </c>
      <c r="C52" s="79">
        <v>47</v>
      </c>
      <c r="D52" s="275"/>
      <c r="E52" s="111"/>
      <c r="F52" s="111"/>
      <c r="G52" s="111"/>
      <c r="H52" s="111"/>
      <c r="I52" s="111"/>
      <c r="J52" s="111"/>
    </row>
    <row r="53" spans="1:10">
      <c r="A53" s="198">
        <v>6</v>
      </c>
      <c r="B53" s="79" t="s">
        <v>489</v>
      </c>
      <c r="C53" s="79">
        <v>15</v>
      </c>
      <c r="D53" s="275"/>
      <c r="E53" s="111"/>
      <c r="F53" s="111"/>
      <c r="G53" s="111"/>
      <c r="H53" s="111"/>
      <c r="I53" s="111"/>
      <c r="J53" s="111"/>
    </row>
    <row r="54" spans="1:10">
      <c r="A54" s="198">
        <v>7</v>
      </c>
      <c r="B54" s="79" t="s">
        <v>490</v>
      </c>
      <c r="C54" s="79">
        <v>20</v>
      </c>
      <c r="D54" s="275"/>
      <c r="E54" s="111"/>
      <c r="F54" s="111"/>
      <c r="G54" s="111"/>
      <c r="H54" s="111"/>
      <c r="I54" s="111"/>
      <c r="J54" s="111"/>
    </row>
    <row r="55" spans="1:10">
      <c r="A55" s="195" t="s">
        <v>431</v>
      </c>
      <c r="B55" s="196" t="s">
        <v>432</v>
      </c>
      <c r="C55" s="196" t="s">
        <v>433</v>
      </c>
      <c r="D55" s="197" t="s">
        <v>434</v>
      </c>
      <c r="E55" s="111"/>
      <c r="F55" s="111"/>
      <c r="G55" s="111"/>
      <c r="H55" s="111"/>
      <c r="I55" s="111"/>
      <c r="J55" s="111"/>
    </row>
    <row r="56" spans="1:10">
      <c r="A56" s="198">
        <v>1</v>
      </c>
      <c r="B56" s="79" t="s">
        <v>491</v>
      </c>
      <c r="C56" s="79">
        <v>1</v>
      </c>
      <c r="D56" s="275" t="s">
        <v>492</v>
      </c>
      <c r="E56" s="111"/>
      <c r="F56" s="111"/>
      <c r="G56" s="111"/>
      <c r="H56" s="111"/>
      <c r="I56" s="111"/>
      <c r="J56" s="111"/>
    </row>
    <row r="57" spans="1:10">
      <c r="A57" s="198">
        <v>2</v>
      </c>
      <c r="B57" s="79" t="s">
        <v>493</v>
      </c>
      <c r="C57" s="79">
        <v>1</v>
      </c>
      <c r="D57" s="275"/>
      <c r="E57" s="111"/>
      <c r="F57" s="111"/>
      <c r="G57" s="111"/>
      <c r="H57" s="111"/>
      <c r="I57" s="111"/>
      <c r="J57" s="111"/>
    </row>
    <row r="58" spans="1:10">
      <c r="A58" s="198">
        <v>3</v>
      </c>
      <c r="B58" s="79" t="s">
        <v>494</v>
      </c>
      <c r="C58" s="79">
        <v>1</v>
      </c>
      <c r="D58" s="275"/>
      <c r="E58" s="111"/>
      <c r="F58" s="111"/>
      <c r="G58" s="111"/>
      <c r="H58" s="111"/>
      <c r="I58" s="111"/>
      <c r="J58" s="111"/>
    </row>
    <row r="59" spans="1:10">
      <c r="A59" s="198">
        <v>4</v>
      </c>
      <c r="B59" s="79" t="s">
        <v>495</v>
      </c>
      <c r="C59" s="79">
        <v>1</v>
      </c>
      <c r="D59" s="275"/>
      <c r="E59" s="111"/>
      <c r="F59" s="111"/>
      <c r="G59" s="111"/>
      <c r="H59" s="111"/>
      <c r="I59" s="111"/>
      <c r="J59" s="111"/>
    </row>
    <row r="60" spans="1:10">
      <c r="A60" s="198"/>
      <c r="B60" s="79" t="s">
        <v>496</v>
      </c>
      <c r="C60" s="79">
        <v>1</v>
      </c>
      <c r="D60" s="275"/>
      <c r="E60" s="111"/>
      <c r="F60" s="111"/>
      <c r="G60" s="111"/>
      <c r="H60" s="111"/>
      <c r="I60" s="111"/>
      <c r="J60" s="111"/>
    </row>
    <row r="61" spans="1:10">
      <c r="A61" s="198">
        <v>5</v>
      </c>
      <c r="B61" s="79" t="s">
        <v>497</v>
      </c>
      <c r="C61" s="79">
        <v>6</v>
      </c>
      <c r="D61" s="275"/>
      <c r="E61" s="111"/>
      <c r="F61" s="111"/>
      <c r="G61" s="111"/>
      <c r="H61" s="111"/>
      <c r="I61" s="111"/>
      <c r="J61" s="111"/>
    </row>
    <row r="62" spans="1:10">
      <c r="A62" s="198">
        <v>6</v>
      </c>
      <c r="B62" s="79" t="s">
        <v>498</v>
      </c>
      <c r="C62" s="79" t="s">
        <v>499</v>
      </c>
      <c r="D62" s="275"/>
      <c r="E62" s="111"/>
      <c r="F62" s="111"/>
      <c r="G62" s="111"/>
      <c r="H62" s="111"/>
      <c r="I62" s="111"/>
      <c r="J62" s="111"/>
    </row>
    <row r="63" spans="1:10">
      <c r="A63" s="198">
        <v>7</v>
      </c>
      <c r="B63" s="79" t="s">
        <v>500</v>
      </c>
      <c r="C63" s="79" t="s">
        <v>499</v>
      </c>
      <c r="D63" s="275"/>
      <c r="E63" s="111"/>
      <c r="F63" s="111"/>
      <c r="G63" s="111"/>
      <c r="H63" s="111"/>
      <c r="I63" s="111"/>
      <c r="J63" s="111"/>
    </row>
    <row r="64" spans="1:10">
      <c r="A64" s="198">
        <v>8</v>
      </c>
      <c r="B64" s="79" t="s">
        <v>501</v>
      </c>
      <c r="C64" s="79">
        <v>1</v>
      </c>
      <c r="D64" s="275"/>
      <c r="E64" s="111"/>
      <c r="F64" s="111"/>
      <c r="G64" s="111"/>
      <c r="H64" s="111"/>
      <c r="I64" s="111"/>
      <c r="J64" s="111"/>
    </row>
    <row r="65" spans="1:10">
      <c r="A65" s="198">
        <v>9</v>
      </c>
      <c r="B65" s="79" t="s">
        <v>502</v>
      </c>
      <c r="C65" s="79">
        <v>1</v>
      </c>
      <c r="D65" s="275"/>
      <c r="E65" s="111"/>
      <c r="F65" s="111"/>
      <c r="G65" s="111"/>
      <c r="H65" s="111"/>
      <c r="I65" s="111"/>
      <c r="J65" s="111"/>
    </row>
    <row r="66" spans="1:10">
      <c r="A66" s="198">
        <v>10</v>
      </c>
      <c r="B66" s="79" t="s">
        <v>503</v>
      </c>
      <c r="C66" s="79">
        <v>1</v>
      </c>
      <c r="D66" s="275"/>
      <c r="E66" s="111"/>
      <c r="F66" s="111"/>
      <c r="G66" s="111"/>
      <c r="H66" s="111"/>
      <c r="I66" s="111"/>
      <c r="J66" s="111"/>
    </row>
    <row r="67" spans="1:10">
      <c r="A67" s="198">
        <v>11</v>
      </c>
      <c r="B67" s="79" t="s">
        <v>504</v>
      </c>
      <c r="C67" s="79">
        <v>3</v>
      </c>
      <c r="D67" s="275"/>
      <c r="E67" s="111"/>
      <c r="F67" s="111"/>
      <c r="G67" s="111"/>
      <c r="H67" s="111"/>
      <c r="I67" s="111"/>
      <c r="J67" s="111"/>
    </row>
    <row r="68" spans="1:10">
      <c r="A68" s="198">
        <v>12</v>
      </c>
      <c r="B68" s="190" t="s">
        <v>505</v>
      </c>
      <c r="C68" s="79">
        <v>1</v>
      </c>
      <c r="D68" s="275"/>
      <c r="E68" s="111"/>
      <c r="F68" s="111"/>
      <c r="G68" s="111"/>
      <c r="H68" s="111"/>
      <c r="I68" s="111"/>
      <c r="J68" s="111"/>
    </row>
    <row r="69" spans="1:10">
      <c r="A69" s="198">
        <v>13</v>
      </c>
      <c r="B69" s="190" t="s">
        <v>506</v>
      </c>
      <c r="C69" s="79">
        <v>1</v>
      </c>
      <c r="D69" s="275"/>
      <c r="E69" s="111"/>
      <c r="F69" s="111"/>
      <c r="G69" s="111"/>
      <c r="H69" s="111"/>
      <c r="I69" s="111"/>
      <c r="J69" s="111"/>
    </row>
    <row r="70" spans="1:10">
      <c r="A70" s="198">
        <v>14</v>
      </c>
      <c r="B70" s="79" t="s">
        <v>507</v>
      </c>
      <c r="C70" s="79">
        <v>1</v>
      </c>
      <c r="D70" s="275"/>
      <c r="E70" s="111"/>
      <c r="F70" s="111"/>
      <c r="G70" s="111"/>
      <c r="H70" s="111"/>
      <c r="I70" s="111"/>
      <c r="J70" s="111"/>
    </row>
    <row r="71" spans="1:10">
      <c r="A71" s="198">
        <v>15</v>
      </c>
      <c r="B71" s="79" t="s">
        <v>508</v>
      </c>
      <c r="C71" s="79">
        <v>3</v>
      </c>
      <c r="D71" s="275"/>
      <c r="E71" s="111"/>
      <c r="F71" s="111"/>
      <c r="G71" s="111"/>
      <c r="H71" s="111"/>
      <c r="I71" s="111"/>
      <c r="J71" s="111"/>
    </row>
    <row r="72" spans="1:10">
      <c r="A72" s="198">
        <v>16</v>
      </c>
      <c r="B72" s="79" t="s">
        <v>509</v>
      </c>
      <c r="C72" s="79">
        <v>5</v>
      </c>
      <c r="D72" s="275"/>
      <c r="E72" s="111"/>
      <c r="F72" s="111"/>
      <c r="G72" s="111"/>
      <c r="H72" s="111"/>
      <c r="I72" s="111"/>
      <c r="J72" s="111"/>
    </row>
    <row r="73" spans="1:10">
      <c r="A73" s="198">
        <v>18</v>
      </c>
      <c r="B73" s="79" t="s">
        <v>686</v>
      </c>
      <c r="C73" s="190">
        <v>2</v>
      </c>
      <c r="D73" s="275"/>
      <c r="E73" s="111"/>
      <c r="F73" s="111"/>
      <c r="G73" s="111"/>
      <c r="H73" s="111"/>
      <c r="I73" s="111"/>
      <c r="J73" s="111"/>
    </row>
    <row r="74" spans="1:10">
      <c r="A74" s="198">
        <v>19</v>
      </c>
      <c r="B74" s="79" t="s">
        <v>687</v>
      </c>
      <c r="C74" s="190">
        <v>2</v>
      </c>
      <c r="D74" s="275"/>
      <c r="E74" s="111"/>
      <c r="F74" s="111"/>
      <c r="G74" s="111"/>
      <c r="H74" s="111"/>
      <c r="I74" s="111"/>
      <c r="J74" s="111"/>
    </row>
    <row r="75" spans="1:10">
      <c r="A75" s="198">
        <v>20</v>
      </c>
      <c r="B75" s="79" t="s">
        <v>688</v>
      </c>
      <c r="C75" s="190">
        <v>6</v>
      </c>
      <c r="D75" s="275"/>
      <c r="E75" s="111"/>
      <c r="F75" s="111"/>
      <c r="G75" s="111"/>
      <c r="H75" s="111"/>
      <c r="I75" s="111"/>
      <c r="J75" s="111"/>
    </row>
    <row r="76" spans="1:10">
      <c r="A76" s="198">
        <v>21</v>
      </c>
      <c r="B76" s="79" t="s">
        <v>689</v>
      </c>
      <c r="C76" s="190">
        <v>3</v>
      </c>
      <c r="D76" s="275"/>
      <c r="E76" s="111"/>
      <c r="F76" s="111"/>
      <c r="G76" s="111"/>
      <c r="H76" s="111"/>
      <c r="I76" s="111"/>
      <c r="J76" s="111"/>
    </row>
    <row r="77" spans="1:10">
      <c r="A77" s="198">
        <v>22</v>
      </c>
      <c r="B77" s="79" t="s">
        <v>690</v>
      </c>
      <c r="C77" s="190">
        <v>2</v>
      </c>
      <c r="D77" s="275"/>
      <c r="E77" s="111"/>
      <c r="F77" s="111"/>
      <c r="G77" s="111"/>
      <c r="H77" s="111"/>
      <c r="I77" s="111"/>
      <c r="J77" s="111"/>
    </row>
    <row r="78" spans="1:10">
      <c r="A78" s="198">
        <v>23</v>
      </c>
      <c r="B78" s="79" t="s">
        <v>691</v>
      </c>
      <c r="C78" s="190">
        <v>1</v>
      </c>
      <c r="D78" s="275"/>
      <c r="E78" s="111"/>
      <c r="F78" s="111"/>
      <c r="G78" s="111"/>
      <c r="H78" s="111"/>
      <c r="I78" s="111"/>
      <c r="J78" s="111"/>
    </row>
    <row r="79" spans="1:10">
      <c r="A79" s="198">
        <v>24</v>
      </c>
      <c r="B79" s="79" t="s">
        <v>692</v>
      </c>
      <c r="C79" s="79">
        <v>2</v>
      </c>
      <c r="D79" s="275"/>
      <c r="E79" s="111"/>
      <c r="F79" s="111"/>
      <c r="G79" s="111"/>
      <c r="H79" s="111"/>
      <c r="I79" s="111"/>
      <c r="J79" s="111"/>
    </row>
    <row r="80" spans="1:10">
      <c r="A80" s="198">
        <v>25</v>
      </c>
      <c r="B80" s="79" t="s">
        <v>510</v>
      </c>
      <c r="C80" s="79">
        <v>1</v>
      </c>
      <c r="D80" s="275"/>
      <c r="E80" s="111"/>
      <c r="F80" s="111"/>
      <c r="G80" s="111"/>
      <c r="H80" s="111"/>
      <c r="I80" s="111"/>
      <c r="J80" s="111"/>
    </row>
    <row r="81" spans="1:10">
      <c r="A81" s="198">
        <v>26</v>
      </c>
      <c r="B81" s="79" t="s">
        <v>511</v>
      </c>
      <c r="C81" s="190">
        <v>1</v>
      </c>
      <c r="D81" s="275"/>
      <c r="E81" s="111"/>
      <c r="F81" s="111"/>
      <c r="G81" s="111"/>
      <c r="H81" s="111"/>
      <c r="I81" s="111"/>
      <c r="J81" s="111"/>
    </row>
    <row r="82" spans="1:10">
      <c r="A82" s="198">
        <v>27</v>
      </c>
      <c r="B82" s="79" t="s">
        <v>512</v>
      </c>
      <c r="C82" s="190">
        <v>1</v>
      </c>
      <c r="D82" s="275"/>
      <c r="E82" s="111"/>
      <c r="F82" s="111"/>
      <c r="G82" s="111"/>
      <c r="H82" s="111"/>
      <c r="I82" s="111"/>
      <c r="J82" s="111"/>
    </row>
    <row r="83" spans="1:10">
      <c r="A83" s="198">
        <v>28</v>
      </c>
      <c r="B83" s="79" t="s">
        <v>513</v>
      </c>
      <c r="C83" s="79">
        <v>1</v>
      </c>
      <c r="D83" s="275"/>
      <c r="E83" s="111"/>
      <c r="F83" s="111"/>
      <c r="G83" s="111"/>
      <c r="H83" s="111"/>
      <c r="I83" s="111"/>
      <c r="J83" s="111"/>
    </row>
    <row r="84" spans="1:10">
      <c r="A84" s="198">
        <v>29</v>
      </c>
      <c r="B84" s="79" t="s">
        <v>514</v>
      </c>
      <c r="C84" s="79">
        <v>3</v>
      </c>
      <c r="D84" s="275"/>
      <c r="E84" s="111"/>
      <c r="F84" s="111"/>
      <c r="G84" s="111"/>
      <c r="H84" s="111"/>
      <c r="I84" s="111"/>
      <c r="J84" s="111"/>
    </row>
    <row r="85" spans="1:10">
      <c r="A85" s="195" t="s">
        <v>431</v>
      </c>
      <c r="B85" s="196" t="s">
        <v>432</v>
      </c>
      <c r="C85" s="196" t="s">
        <v>433</v>
      </c>
      <c r="D85" s="197" t="s">
        <v>434</v>
      </c>
      <c r="E85" s="111"/>
      <c r="F85" s="111"/>
      <c r="G85" s="111"/>
      <c r="H85" s="111"/>
      <c r="I85" s="111"/>
      <c r="J85" s="111"/>
    </row>
    <row r="86" spans="1:10">
      <c r="A86" s="198">
        <v>1</v>
      </c>
      <c r="B86" s="79" t="s">
        <v>515</v>
      </c>
      <c r="C86" s="79">
        <v>2</v>
      </c>
      <c r="D86" s="275" t="s">
        <v>516</v>
      </c>
      <c r="E86" s="111"/>
      <c r="F86" s="111"/>
      <c r="G86" s="111"/>
      <c r="H86" s="111"/>
      <c r="I86" s="111"/>
      <c r="J86" s="111"/>
    </row>
    <row r="87" spans="1:10">
      <c r="A87" s="198">
        <v>2</v>
      </c>
      <c r="B87" s="79" t="s">
        <v>517</v>
      </c>
      <c r="C87" s="79">
        <v>4</v>
      </c>
      <c r="D87" s="275"/>
      <c r="E87" s="111"/>
      <c r="F87" s="111"/>
      <c r="G87" s="111"/>
      <c r="H87" s="111"/>
      <c r="I87" s="111"/>
      <c r="J87" s="111"/>
    </row>
    <row r="88" spans="1:10">
      <c r="A88" s="198">
        <v>3</v>
      </c>
      <c r="B88" s="79" t="s">
        <v>518</v>
      </c>
      <c r="C88" s="79">
        <v>1</v>
      </c>
      <c r="D88" s="275"/>
      <c r="E88" s="111"/>
      <c r="F88" s="111"/>
      <c r="G88" s="111"/>
      <c r="H88" s="111"/>
      <c r="I88" s="111"/>
      <c r="J88" s="111"/>
    </row>
    <row r="89" spans="1:10">
      <c r="A89" s="198">
        <v>4</v>
      </c>
      <c r="B89" s="79" t="s">
        <v>519</v>
      </c>
      <c r="C89" s="79" t="s">
        <v>456</v>
      </c>
      <c r="D89" s="275"/>
      <c r="E89" s="111"/>
      <c r="F89" s="111"/>
      <c r="G89" s="111"/>
      <c r="H89" s="111"/>
      <c r="I89" s="111"/>
      <c r="J89" s="111"/>
    </row>
    <row r="90" spans="1:10">
      <c r="A90" s="198">
        <v>5</v>
      </c>
      <c r="B90" s="79" t="s">
        <v>520</v>
      </c>
      <c r="C90" s="79" t="s">
        <v>480</v>
      </c>
      <c r="D90" s="275"/>
      <c r="E90" s="111"/>
      <c r="F90" s="111"/>
      <c r="G90" s="111"/>
      <c r="H90" s="111"/>
      <c r="I90" s="111"/>
      <c r="J90" s="111"/>
    </row>
    <row r="91" spans="1:10">
      <c r="A91" s="198">
        <v>6</v>
      </c>
      <c r="B91" s="79" t="s">
        <v>521</v>
      </c>
      <c r="C91" s="79" t="s">
        <v>522</v>
      </c>
      <c r="D91" s="275"/>
      <c r="E91" s="111"/>
      <c r="F91" s="111"/>
      <c r="G91" s="111"/>
      <c r="H91" s="111"/>
      <c r="I91" s="111"/>
      <c r="J91" s="111"/>
    </row>
    <row r="92" spans="1:10">
      <c r="A92" s="198">
        <v>7</v>
      </c>
      <c r="B92" s="79" t="s">
        <v>523</v>
      </c>
      <c r="C92" s="79" t="s">
        <v>524</v>
      </c>
      <c r="D92" s="275"/>
      <c r="E92" s="111"/>
      <c r="F92" s="111"/>
      <c r="G92" s="111"/>
      <c r="H92" s="111"/>
      <c r="I92" s="111"/>
      <c r="J92" s="111"/>
    </row>
    <row r="93" spans="1:10">
      <c r="A93" s="79">
        <v>12</v>
      </c>
      <c r="B93" s="79" t="s">
        <v>525</v>
      </c>
      <c r="C93" s="79" t="s">
        <v>526</v>
      </c>
      <c r="D93" s="275"/>
      <c r="E93" s="111"/>
      <c r="F93" s="111"/>
      <c r="G93" s="111"/>
      <c r="H93" s="111"/>
      <c r="I93" s="111"/>
      <c r="J93" s="111"/>
    </row>
    <row r="94" spans="1:10">
      <c r="A94" s="195" t="s">
        <v>431</v>
      </c>
      <c r="B94" s="196" t="s">
        <v>432</v>
      </c>
      <c r="C94" s="196" t="s">
        <v>433</v>
      </c>
      <c r="D94" s="197" t="s">
        <v>434</v>
      </c>
      <c r="E94" s="111"/>
      <c r="F94" s="111"/>
      <c r="G94" s="111"/>
      <c r="H94" s="111"/>
      <c r="I94" s="111"/>
      <c r="J94" s="111"/>
    </row>
    <row r="95" spans="1:10">
      <c r="A95" s="198">
        <v>1</v>
      </c>
      <c r="B95" s="79" t="s">
        <v>527</v>
      </c>
      <c r="C95" s="79">
        <v>29</v>
      </c>
      <c r="D95" s="275" t="s">
        <v>528</v>
      </c>
      <c r="E95" s="111"/>
      <c r="F95" s="111"/>
      <c r="G95" s="111"/>
      <c r="H95" s="111"/>
      <c r="I95" s="111"/>
      <c r="J95" s="111"/>
    </row>
    <row r="96" spans="1:10">
      <c r="A96" s="198">
        <v>2</v>
      </c>
      <c r="B96" s="79" t="s">
        <v>529</v>
      </c>
      <c r="C96" s="79">
        <v>14</v>
      </c>
      <c r="D96" s="275"/>
      <c r="E96" s="111"/>
      <c r="F96" s="111"/>
      <c r="G96" s="111"/>
      <c r="H96" s="111"/>
      <c r="I96" s="111"/>
      <c r="J96" s="111"/>
    </row>
    <row r="97" spans="1:10">
      <c r="A97" s="198">
        <v>3</v>
      </c>
      <c r="B97" s="79" t="s">
        <v>530</v>
      </c>
      <c r="C97" s="79">
        <v>19</v>
      </c>
      <c r="D97" s="275"/>
      <c r="E97" s="111"/>
      <c r="F97" s="111"/>
      <c r="G97" s="111"/>
      <c r="H97" s="111"/>
      <c r="I97" s="111"/>
      <c r="J97" s="111"/>
    </row>
    <row r="98" spans="1:10">
      <c r="A98" s="198">
        <v>4</v>
      </c>
      <c r="B98" s="79" t="s">
        <v>531</v>
      </c>
      <c r="C98" s="79">
        <v>20</v>
      </c>
      <c r="D98" s="275"/>
      <c r="E98" s="111"/>
      <c r="F98" s="111"/>
      <c r="G98" s="111"/>
      <c r="H98" s="111"/>
      <c r="I98" s="111"/>
      <c r="J98" s="111"/>
    </row>
    <row r="99" spans="1:10">
      <c r="A99" s="198">
        <v>5</v>
      </c>
      <c r="B99" s="79" t="s">
        <v>532</v>
      </c>
      <c r="C99" s="79">
        <v>16</v>
      </c>
      <c r="D99" s="275"/>
      <c r="E99" s="111"/>
      <c r="F99" s="111"/>
      <c r="G99" s="111"/>
      <c r="H99" s="111"/>
      <c r="I99" s="111"/>
      <c r="J99" s="111"/>
    </row>
    <row r="100" spans="1:10">
      <c r="A100" s="198">
        <v>6</v>
      </c>
      <c r="B100" s="79" t="s">
        <v>533</v>
      </c>
      <c r="C100" s="190">
        <v>15</v>
      </c>
      <c r="D100" s="275"/>
      <c r="E100" s="111"/>
      <c r="F100" s="111"/>
      <c r="G100" s="111"/>
      <c r="H100" s="111"/>
      <c r="I100" s="111"/>
      <c r="J100" s="111"/>
    </row>
    <row r="101" spans="1:10">
      <c r="A101" s="198">
        <v>7</v>
      </c>
      <c r="B101" s="79" t="s">
        <v>534</v>
      </c>
      <c r="C101" s="79">
        <v>6</v>
      </c>
      <c r="D101" s="275"/>
      <c r="E101" s="111"/>
      <c r="F101" s="111"/>
      <c r="G101" s="111"/>
      <c r="H101" s="111"/>
      <c r="I101" s="111"/>
      <c r="J101" s="111"/>
    </row>
    <row r="102" spans="1:10">
      <c r="A102" s="198">
        <v>8</v>
      </c>
      <c r="B102" s="79" t="s">
        <v>535</v>
      </c>
      <c r="C102" s="79">
        <v>11</v>
      </c>
      <c r="D102" s="275"/>
      <c r="E102" s="111"/>
      <c r="F102" s="111"/>
      <c r="G102" s="111"/>
      <c r="H102" s="111"/>
      <c r="I102" s="111"/>
      <c r="J102" s="111"/>
    </row>
    <row r="103" spans="1:10">
      <c r="A103" s="198">
        <v>9</v>
      </c>
      <c r="B103" s="79" t="s">
        <v>536</v>
      </c>
      <c r="C103" s="79">
        <v>25</v>
      </c>
      <c r="D103" s="275"/>
      <c r="E103" s="111"/>
      <c r="F103" s="111"/>
      <c r="G103" s="111"/>
      <c r="H103" s="111"/>
      <c r="I103" s="111"/>
      <c r="J103" s="111"/>
    </row>
    <row r="104" spans="1:10">
      <c r="A104" s="198">
        <v>10</v>
      </c>
      <c r="B104" s="79" t="s">
        <v>537</v>
      </c>
      <c r="C104" s="79">
        <v>35</v>
      </c>
      <c r="D104" s="275"/>
      <c r="E104" s="111"/>
      <c r="F104" s="111"/>
      <c r="G104" s="111"/>
      <c r="H104" s="111"/>
      <c r="I104" s="111"/>
      <c r="J104" s="111"/>
    </row>
    <row r="105" spans="1:10">
      <c r="A105" s="198">
        <v>11</v>
      </c>
      <c r="B105" s="79" t="s">
        <v>538</v>
      </c>
      <c r="C105" s="79">
        <v>43</v>
      </c>
      <c r="D105" s="275"/>
      <c r="E105" s="111"/>
      <c r="F105" s="111"/>
      <c r="G105" s="111"/>
      <c r="H105" s="111"/>
      <c r="I105" s="111"/>
      <c r="J105" s="111"/>
    </row>
    <row r="106" spans="1:10">
      <c r="A106" s="198">
        <v>12</v>
      </c>
      <c r="B106" s="79" t="s">
        <v>539</v>
      </c>
      <c r="C106" s="79">
        <v>1</v>
      </c>
      <c r="D106" s="275"/>
      <c r="E106" s="111"/>
      <c r="F106" s="111"/>
      <c r="G106" s="111"/>
      <c r="H106" s="111"/>
      <c r="I106" s="111"/>
      <c r="J106" s="111"/>
    </row>
    <row r="107" spans="1:10">
      <c r="A107" s="198">
        <v>13</v>
      </c>
      <c r="B107" s="79" t="s">
        <v>540</v>
      </c>
      <c r="C107" s="79">
        <v>7</v>
      </c>
      <c r="D107" s="275"/>
      <c r="E107" s="111"/>
      <c r="F107" s="111"/>
      <c r="G107" s="111"/>
      <c r="H107" s="111"/>
      <c r="I107" s="111"/>
      <c r="J107" s="111"/>
    </row>
    <row r="108" spans="1:10">
      <c r="A108" s="198">
        <v>14</v>
      </c>
      <c r="B108" s="79" t="s">
        <v>541</v>
      </c>
      <c r="C108" s="79">
        <v>1</v>
      </c>
      <c r="D108" s="275"/>
      <c r="E108" s="111"/>
      <c r="F108" s="111"/>
      <c r="G108" s="111"/>
      <c r="H108" s="111"/>
      <c r="I108" s="111"/>
      <c r="J108" s="111"/>
    </row>
    <row r="109" spans="1:10">
      <c r="A109" s="198">
        <v>15</v>
      </c>
      <c r="B109" s="79" t="s">
        <v>542</v>
      </c>
      <c r="C109" s="79">
        <v>4</v>
      </c>
      <c r="D109" s="275"/>
      <c r="E109" s="111"/>
      <c r="F109" s="111"/>
      <c r="G109" s="111"/>
      <c r="H109" s="111"/>
      <c r="I109" s="111"/>
      <c r="J109" s="111"/>
    </row>
    <row r="110" spans="1:10">
      <c r="A110" s="198">
        <v>16</v>
      </c>
      <c r="B110" s="79" t="s">
        <v>543</v>
      </c>
      <c r="C110" s="79">
        <v>2</v>
      </c>
      <c r="D110" s="275"/>
      <c r="E110" s="111"/>
      <c r="F110" s="111"/>
      <c r="G110" s="111"/>
      <c r="H110" s="111"/>
      <c r="I110" s="111"/>
      <c r="J110" s="111"/>
    </row>
    <row r="111" spans="1:10">
      <c r="A111" s="198">
        <v>17</v>
      </c>
      <c r="B111" s="79" t="s">
        <v>544</v>
      </c>
      <c r="C111" s="79">
        <v>2</v>
      </c>
      <c r="D111" s="275"/>
      <c r="E111" s="111"/>
      <c r="F111" s="111"/>
      <c r="G111" s="111"/>
      <c r="H111" s="111"/>
      <c r="I111" s="111"/>
      <c r="J111" s="111"/>
    </row>
    <row r="112" spans="1:10">
      <c r="A112" s="198">
        <v>18</v>
      </c>
      <c r="B112" s="79" t="s">
        <v>545</v>
      </c>
      <c r="C112" s="79">
        <v>1</v>
      </c>
      <c r="D112" s="275"/>
      <c r="E112" s="111"/>
      <c r="F112" s="111"/>
      <c r="G112" s="111"/>
      <c r="H112" s="111"/>
      <c r="I112" s="111"/>
      <c r="J112" s="111"/>
    </row>
    <row r="113" spans="1:10">
      <c r="A113" s="198">
        <v>19</v>
      </c>
      <c r="B113" s="79" t="s">
        <v>546</v>
      </c>
      <c r="C113" s="79">
        <v>1</v>
      </c>
      <c r="D113" s="275"/>
      <c r="E113" s="111"/>
      <c r="F113" s="111"/>
      <c r="G113" s="111"/>
      <c r="H113" s="111"/>
      <c r="I113" s="111"/>
      <c r="J113" s="111"/>
    </row>
    <row r="114" spans="1:10">
      <c r="A114" s="198">
        <v>20</v>
      </c>
      <c r="B114" s="79" t="s">
        <v>547</v>
      </c>
      <c r="C114" s="79">
        <v>2</v>
      </c>
      <c r="D114" s="275"/>
      <c r="E114" s="111"/>
      <c r="F114" s="111"/>
      <c r="G114" s="111"/>
      <c r="H114" s="111"/>
      <c r="I114" s="111"/>
      <c r="J114" s="111"/>
    </row>
    <row r="115" spans="1:10">
      <c r="A115" s="198">
        <v>21</v>
      </c>
      <c r="B115" s="79" t="s">
        <v>548</v>
      </c>
      <c r="C115" s="79">
        <v>2</v>
      </c>
      <c r="D115" s="275"/>
      <c r="E115" s="111"/>
      <c r="F115" s="111"/>
      <c r="G115" s="111"/>
      <c r="H115" s="111"/>
      <c r="I115" s="111"/>
      <c r="J115" s="111"/>
    </row>
    <row r="116" spans="1:10">
      <c r="A116" s="198">
        <v>22</v>
      </c>
      <c r="B116" s="79" t="s">
        <v>549</v>
      </c>
      <c r="C116" s="79">
        <v>1</v>
      </c>
      <c r="D116" s="275"/>
      <c r="E116" s="111"/>
      <c r="F116" s="111"/>
      <c r="G116" s="111"/>
      <c r="H116" s="111"/>
      <c r="I116" s="111"/>
      <c r="J116" s="111"/>
    </row>
    <row r="117" spans="1:10">
      <c r="A117" s="198">
        <v>23</v>
      </c>
      <c r="B117" s="79" t="s">
        <v>550</v>
      </c>
      <c r="C117" s="79">
        <v>2</v>
      </c>
      <c r="D117" s="275"/>
      <c r="E117" s="111"/>
      <c r="F117" s="111"/>
      <c r="G117" s="111"/>
      <c r="H117" s="111"/>
      <c r="I117" s="111"/>
      <c r="J117" s="111"/>
    </row>
    <row r="118" spans="1:10">
      <c r="A118" s="198">
        <v>24</v>
      </c>
      <c r="B118" s="79" t="s">
        <v>551</v>
      </c>
      <c r="C118" s="79">
        <v>3</v>
      </c>
      <c r="D118" s="275"/>
      <c r="E118" s="111"/>
      <c r="F118" s="111"/>
      <c r="G118" s="111"/>
      <c r="H118" s="111"/>
      <c r="I118" s="111"/>
      <c r="J118" s="111"/>
    </row>
    <row r="119" spans="1:10">
      <c r="A119" s="198">
        <v>25</v>
      </c>
      <c r="B119" s="79" t="s">
        <v>552</v>
      </c>
      <c r="C119" s="79">
        <v>1</v>
      </c>
      <c r="D119" s="275"/>
      <c r="E119" s="111"/>
      <c r="F119" s="111"/>
      <c r="G119" s="111"/>
      <c r="H119" s="111"/>
      <c r="I119" s="111"/>
      <c r="J119" s="111"/>
    </row>
    <row r="120" spans="1:10">
      <c r="A120" s="198">
        <v>26</v>
      </c>
      <c r="B120" s="79" t="s">
        <v>553</v>
      </c>
      <c r="C120" s="79">
        <v>5</v>
      </c>
      <c r="D120" s="275"/>
      <c r="E120" s="111"/>
      <c r="F120" s="111"/>
      <c r="G120" s="111"/>
      <c r="H120" s="111"/>
      <c r="I120" s="111"/>
      <c r="J120" s="111"/>
    </row>
    <row r="121" spans="1:10">
      <c r="A121" s="198">
        <v>27</v>
      </c>
      <c r="B121" s="79" t="s">
        <v>554</v>
      </c>
      <c r="C121" s="79">
        <v>1</v>
      </c>
      <c r="D121" s="275"/>
      <c r="E121" s="111"/>
      <c r="F121" s="111"/>
      <c r="G121" s="111"/>
      <c r="H121" s="111"/>
      <c r="I121" s="111"/>
      <c r="J121" s="111"/>
    </row>
    <row r="122" spans="1:10">
      <c r="A122" s="198">
        <v>28</v>
      </c>
      <c r="B122" s="79" t="s">
        <v>555</v>
      </c>
      <c r="C122" s="79">
        <v>1</v>
      </c>
      <c r="D122" s="275"/>
      <c r="E122" s="111"/>
      <c r="F122" s="111"/>
      <c r="G122" s="111"/>
      <c r="H122" s="111"/>
      <c r="I122" s="111"/>
      <c r="J122" s="111"/>
    </row>
    <row r="123" spans="1:10">
      <c r="A123" s="198">
        <v>29</v>
      </c>
      <c r="B123" s="79" t="s">
        <v>556</v>
      </c>
      <c r="C123" s="79">
        <v>2</v>
      </c>
      <c r="D123" s="275"/>
      <c r="E123" s="111"/>
      <c r="F123" s="111"/>
      <c r="G123" s="111"/>
      <c r="H123" s="111"/>
      <c r="I123" s="111"/>
      <c r="J123" s="111"/>
    </row>
    <row r="124" spans="1:10">
      <c r="A124" s="198">
        <v>30</v>
      </c>
      <c r="B124" s="79" t="s">
        <v>557</v>
      </c>
      <c r="C124" s="79">
        <v>1</v>
      </c>
      <c r="D124" s="275"/>
      <c r="E124" s="111"/>
      <c r="F124" s="111"/>
      <c r="G124" s="111"/>
      <c r="H124" s="111"/>
      <c r="I124" s="111"/>
      <c r="J124" s="111"/>
    </row>
    <row r="125" spans="1:10">
      <c r="A125" s="198">
        <v>31</v>
      </c>
      <c r="B125" s="79" t="s">
        <v>558</v>
      </c>
      <c r="C125" s="79">
        <v>1</v>
      </c>
      <c r="D125" s="275"/>
      <c r="E125" s="111"/>
      <c r="F125" s="111"/>
      <c r="G125" s="111"/>
      <c r="H125" s="111"/>
      <c r="I125" s="111"/>
      <c r="J125" s="111"/>
    </row>
    <row r="126" spans="1:10">
      <c r="A126" s="198">
        <v>32</v>
      </c>
      <c r="B126" s="79" t="s">
        <v>559</v>
      </c>
      <c r="C126" s="79">
        <v>1</v>
      </c>
      <c r="D126" s="275"/>
      <c r="E126" s="111"/>
      <c r="F126" s="111"/>
      <c r="G126" s="111"/>
      <c r="H126" s="111"/>
      <c r="I126" s="111"/>
      <c r="J126" s="111"/>
    </row>
    <row r="127" spans="1:10">
      <c r="A127" s="198">
        <v>33</v>
      </c>
      <c r="B127" s="79" t="s">
        <v>560</v>
      </c>
      <c r="C127" s="79"/>
      <c r="D127" s="275"/>
      <c r="E127" s="111"/>
      <c r="F127" s="111"/>
      <c r="G127" s="111"/>
      <c r="H127" s="111"/>
      <c r="I127" s="111"/>
      <c r="J127" s="111"/>
    </row>
    <row r="128" spans="1:10" ht="19.5" thickBot="1">
      <c r="A128" s="198">
        <v>34</v>
      </c>
      <c r="B128" s="79" t="s">
        <v>560</v>
      </c>
      <c r="C128" s="79"/>
      <c r="D128" s="275"/>
      <c r="E128" s="111"/>
      <c r="F128" s="111"/>
      <c r="G128" s="111"/>
      <c r="H128" s="111"/>
      <c r="I128" s="111"/>
      <c r="J128" s="111"/>
    </row>
    <row r="129" spans="1:10" ht="19.5" thickBot="1">
      <c r="A129" s="200" t="s">
        <v>431</v>
      </c>
      <c r="B129" s="196" t="s">
        <v>432</v>
      </c>
      <c r="C129" s="196" t="s">
        <v>433</v>
      </c>
      <c r="D129" s="197" t="s">
        <v>434</v>
      </c>
      <c r="E129" s="111"/>
      <c r="F129" s="111"/>
      <c r="G129" s="111"/>
      <c r="H129" s="111"/>
      <c r="I129" s="111"/>
      <c r="J129" s="111"/>
    </row>
    <row r="130" spans="1:10">
      <c r="A130" s="79">
        <v>1</v>
      </c>
      <c r="B130" s="79" t="s">
        <v>420</v>
      </c>
      <c r="C130" s="79">
        <v>1</v>
      </c>
      <c r="D130" s="79" t="s">
        <v>561</v>
      </c>
      <c r="E130" s="111"/>
      <c r="F130" s="111"/>
      <c r="G130" s="111"/>
      <c r="H130" s="111"/>
      <c r="I130" s="111"/>
      <c r="J130" s="111"/>
    </row>
    <row r="131" spans="1:10">
      <c r="A131" s="79">
        <v>2</v>
      </c>
      <c r="B131" s="79" t="s">
        <v>421</v>
      </c>
      <c r="C131" s="79">
        <v>5</v>
      </c>
      <c r="D131" s="275" t="s">
        <v>562</v>
      </c>
      <c r="E131" s="111"/>
      <c r="F131" s="111"/>
      <c r="G131" s="111"/>
      <c r="H131" s="111"/>
      <c r="I131" s="111"/>
      <c r="J131" s="111"/>
    </row>
    <row r="132" spans="1:10">
      <c r="A132" s="79">
        <v>3</v>
      </c>
      <c r="B132" s="79" t="s">
        <v>422</v>
      </c>
      <c r="C132" s="79">
        <v>3</v>
      </c>
      <c r="D132" s="275"/>
      <c r="E132" s="111"/>
      <c r="F132" s="111"/>
      <c r="G132" s="111"/>
      <c r="H132" s="111"/>
      <c r="I132" s="111"/>
      <c r="J132" s="111"/>
    </row>
    <row r="133" spans="1:10">
      <c r="A133" s="79">
        <v>4</v>
      </c>
      <c r="B133" s="79" t="s">
        <v>423</v>
      </c>
      <c r="C133" s="79">
        <v>6</v>
      </c>
      <c r="D133" s="275"/>
      <c r="E133" s="111"/>
      <c r="F133" s="111"/>
      <c r="G133" s="111"/>
      <c r="H133" s="111"/>
      <c r="I133" s="111"/>
      <c r="J133" s="111"/>
    </row>
    <row r="134" spans="1:10">
      <c r="A134" s="79">
        <v>5</v>
      </c>
      <c r="B134" s="79" t="s">
        <v>424</v>
      </c>
      <c r="C134" s="79">
        <v>3</v>
      </c>
      <c r="D134" s="275"/>
      <c r="E134" s="111"/>
      <c r="F134" s="111"/>
      <c r="G134" s="111"/>
      <c r="H134" s="111"/>
      <c r="I134" s="111"/>
      <c r="J134" s="111"/>
    </row>
    <row r="135" spans="1:10">
      <c r="A135" s="79">
        <v>6</v>
      </c>
      <c r="B135" s="79" t="s">
        <v>425</v>
      </c>
      <c r="C135" s="79">
        <v>2</v>
      </c>
      <c r="D135" s="275"/>
      <c r="E135" s="111"/>
      <c r="F135" s="111"/>
      <c r="G135" s="111"/>
      <c r="H135" s="111"/>
      <c r="I135" s="111"/>
      <c r="J135" s="111"/>
    </row>
    <row r="136" spans="1:10">
      <c r="A136" s="79">
        <v>7</v>
      </c>
      <c r="B136" s="79" t="s">
        <v>426</v>
      </c>
      <c r="C136" s="79">
        <v>1</v>
      </c>
      <c r="D136" s="275"/>
      <c r="E136" s="111"/>
      <c r="F136" s="111"/>
      <c r="G136" s="111"/>
      <c r="H136" s="111"/>
      <c r="I136" s="111"/>
      <c r="J136" s="111"/>
    </row>
    <row r="137" spans="1:10">
      <c r="A137" s="79">
        <v>8</v>
      </c>
      <c r="B137" s="79" t="s">
        <v>427</v>
      </c>
      <c r="C137" s="79">
        <v>1</v>
      </c>
      <c r="D137" s="275"/>
      <c r="E137" s="111"/>
      <c r="F137" s="111"/>
      <c r="G137" s="111"/>
      <c r="H137" s="111"/>
      <c r="I137" s="111"/>
      <c r="J137" s="111"/>
    </row>
  </sheetData>
  <mergeCells count="8">
    <mergeCell ref="A1:J1"/>
    <mergeCell ref="D95:D128"/>
    <mergeCell ref="D131:D137"/>
    <mergeCell ref="D3:D14"/>
    <mergeCell ref="D16:D46"/>
    <mergeCell ref="D48:D54"/>
    <mergeCell ref="D56:D84"/>
    <mergeCell ref="D86:D93"/>
  </mergeCells>
  <pageMargins left="0.7" right="0.7" top="0.75" bottom="0.75" header="0.3" footer="0.3"/>
  <pageSetup scale="27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4"/>
  <sheetViews>
    <sheetView workbookViewId="0">
      <selection activeCell="P5" sqref="P5"/>
    </sheetView>
  </sheetViews>
  <sheetFormatPr defaultRowHeight="15"/>
  <cols>
    <col min="1" max="1" width="6.85546875" style="4" customWidth="1"/>
    <col min="2" max="2" width="30.28515625" style="105" customWidth="1"/>
    <col min="3" max="3" width="7" style="105" customWidth="1"/>
    <col min="4" max="4" width="9.7109375" style="105" customWidth="1"/>
    <col min="5" max="5" width="9.140625" style="105"/>
    <col min="6" max="6" width="13.85546875" style="105" customWidth="1"/>
    <col min="7" max="7" width="24.5703125" style="105" customWidth="1"/>
    <col min="8" max="8" width="6.7109375" style="4" customWidth="1"/>
    <col min="9" max="10" width="6.42578125" style="4" customWidth="1"/>
    <col min="11" max="11" width="6.140625" style="4" customWidth="1"/>
    <col min="12" max="12" width="5.85546875" style="4" customWidth="1"/>
    <col min="13" max="13" width="6.28515625" style="4" customWidth="1"/>
    <col min="14" max="14" width="6.7109375" style="4" customWidth="1"/>
  </cols>
  <sheetData>
    <row r="1" spans="1:14" ht="27.75" customHeight="1">
      <c r="A1" s="276" t="s">
        <v>616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</row>
    <row r="2" spans="1:14" ht="30">
      <c r="A2" s="103" t="s">
        <v>254</v>
      </c>
      <c r="B2" s="103" t="s">
        <v>137</v>
      </c>
      <c r="C2" s="103" t="s">
        <v>617</v>
      </c>
      <c r="D2" s="104" t="s">
        <v>37</v>
      </c>
      <c r="E2" s="104" t="s">
        <v>38</v>
      </c>
      <c r="F2" s="103" t="s">
        <v>275</v>
      </c>
      <c r="G2" s="103" t="s">
        <v>263</v>
      </c>
      <c r="H2" s="44" t="s">
        <v>632</v>
      </c>
      <c r="I2" s="44" t="s">
        <v>609</v>
      </c>
      <c r="J2" s="44" t="s">
        <v>610</v>
      </c>
      <c r="K2" s="44" t="s">
        <v>611</v>
      </c>
      <c r="L2" s="44" t="s">
        <v>612</v>
      </c>
      <c r="M2" s="44" t="s">
        <v>613</v>
      </c>
      <c r="N2" s="44" t="s">
        <v>614</v>
      </c>
    </row>
    <row r="3" spans="1:14" ht="24" customHeight="1">
      <c r="A3" s="4">
        <v>1</v>
      </c>
      <c r="B3" s="93" t="s">
        <v>621</v>
      </c>
      <c r="C3" s="93" t="s">
        <v>618</v>
      </c>
      <c r="D3" s="93">
        <v>2</v>
      </c>
      <c r="E3" s="93">
        <v>1</v>
      </c>
      <c r="F3" s="93" t="s">
        <v>623</v>
      </c>
      <c r="G3" s="93"/>
      <c r="H3" s="92"/>
      <c r="I3" s="92"/>
      <c r="J3" s="92"/>
      <c r="K3" s="92"/>
      <c r="L3" s="92"/>
      <c r="M3" s="92"/>
      <c r="N3" s="92"/>
    </row>
    <row r="4" spans="1:14" ht="23.25" customHeight="1">
      <c r="A4" s="4">
        <v>2</v>
      </c>
      <c r="B4" s="93" t="s">
        <v>622</v>
      </c>
      <c r="C4" s="93" t="s">
        <v>619</v>
      </c>
      <c r="D4" s="93">
        <v>2</v>
      </c>
      <c r="E4" s="93">
        <v>1</v>
      </c>
      <c r="F4" s="93" t="s">
        <v>623</v>
      </c>
      <c r="G4" s="93"/>
      <c r="H4" s="92"/>
      <c r="I4" s="92"/>
      <c r="J4" s="92"/>
      <c r="K4" s="92"/>
      <c r="L4" s="92"/>
      <c r="M4" s="92"/>
      <c r="N4" s="92"/>
    </row>
    <row r="5" spans="1:14" ht="27" customHeight="1">
      <c r="A5" s="4">
        <v>3</v>
      </c>
      <c r="B5" s="93" t="s">
        <v>622</v>
      </c>
      <c r="C5" s="93" t="s">
        <v>620</v>
      </c>
      <c r="D5" s="93">
        <v>2</v>
      </c>
      <c r="E5" s="93">
        <v>1</v>
      </c>
      <c r="F5" s="93" t="s">
        <v>623</v>
      </c>
      <c r="G5" s="93"/>
      <c r="H5" s="92"/>
      <c r="I5" s="92"/>
      <c r="J5" s="92"/>
      <c r="K5" s="92"/>
      <c r="L5" s="92"/>
      <c r="M5" s="92"/>
      <c r="N5" s="92"/>
    </row>
    <row r="6" spans="1:14" ht="30">
      <c r="A6" s="4">
        <v>4</v>
      </c>
      <c r="B6" s="93" t="s">
        <v>625</v>
      </c>
      <c r="C6" s="93" t="s">
        <v>624</v>
      </c>
      <c r="D6" s="93">
        <v>2</v>
      </c>
      <c r="E6" s="93">
        <v>1</v>
      </c>
      <c r="F6" s="93" t="s">
        <v>637</v>
      </c>
      <c r="G6" s="93"/>
      <c r="H6" s="92"/>
      <c r="I6" s="92"/>
      <c r="J6" s="92"/>
      <c r="K6" s="92"/>
      <c r="L6" s="92"/>
      <c r="M6" s="92"/>
      <c r="N6" s="92"/>
    </row>
    <row r="7" spans="1:14">
      <c r="A7" s="4">
        <v>5</v>
      </c>
      <c r="B7" s="93" t="s">
        <v>627</v>
      </c>
      <c r="C7" s="93" t="s">
        <v>626</v>
      </c>
      <c r="D7" s="93">
        <v>2</v>
      </c>
      <c r="E7" s="93">
        <v>1</v>
      </c>
      <c r="F7" s="93" t="s">
        <v>637</v>
      </c>
      <c r="G7" s="93"/>
      <c r="H7" s="92"/>
      <c r="I7" s="92"/>
      <c r="J7" s="92"/>
      <c r="K7" s="92"/>
      <c r="L7" s="92"/>
      <c r="M7" s="92"/>
      <c r="N7" s="92"/>
    </row>
    <row r="8" spans="1:14" ht="30">
      <c r="A8" s="4">
        <v>6</v>
      </c>
      <c r="B8" s="93" t="s">
        <v>629</v>
      </c>
      <c r="C8" s="93" t="s">
        <v>628</v>
      </c>
      <c r="D8" s="93">
        <v>2</v>
      </c>
      <c r="E8" s="93">
        <v>1</v>
      </c>
      <c r="F8" s="93" t="s">
        <v>637</v>
      </c>
      <c r="G8" s="93"/>
      <c r="H8" s="92"/>
      <c r="I8" s="92"/>
      <c r="J8" s="92"/>
      <c r="K8" s="92"/>
      <c r="L8" s="92"/>
      <c r="M8" s="92"/>
      <c r="N8" s="92"/>
    </row>
    <row r="9" spans="1:14">
      <c r="A9" s="4">
        <v>7</v>
      </c>
      <c r="B9" s="93" t="s">
        <v>631</v>
      </c>
      <c r="C9" s="93" t="s">
        <v>630</v>
      </c>
      <c r="D9" s="93">
        <v>2</v>
      </c>
      <c r="E9" s="93">
        <v>1</v>
      </c>
      <c r="F9" s="93" t="s">
        <v>637</v>
      </c>
      <c r="G9" s="93"/>
      <c r="H9" s="92"/>
      <c r="I9" s="92"/>
      <c r="J9" s="92"/>
      <c r="K9" s="92"/>
      <c r="L9" s="92"/>
      <c r="M9" s="92"/>
      <c r="N9" s="92"/>
    </row>
    <row r="10" spans="1:14">
      <c r="A10" s="4">
        <v>8</v>
      </c>
      <c r="B10" s="93" t="s">
        <v>634</v>
      </c>
      <c r="C10" s="93" t="s">
        <v>633</v>
      </c>
      <c r="D10" s="93">
        <v>2</v>
      </c>
      <c r="E10" s="93">
        <v>1</v>
      </c>
      <c r="F10" s="93" t="s">
        <v>637</v>
      </c>
      <c r="G10" s="93"/>
      <c r="H10" s="92"/>
      <c r="I10" s="92"/>
      <c r="J10" s="92"/>
      <c r="K10" s="92"/>
      <c r="L10" s="92"/>
      <c r="M10" s="92"/>
      <c r="N10" s="92"/>
    </row>
    <row r="11" spans="1:14">
      <c r="A11" s="4">
        <v>9</v>
      </c>
      <c r="B11" s="93" t="s">
        <v>636</v>
      </c>
      <c r="C11" s="93" t="s">
        <v>635</v>
      </c>
      <c r="D11" s="93">
        <v>2</v>
      </c>
      <c r="E11" s="93">
        <v>1</v>
      </c>
      <c r="F11" s="93" t="s">
        <v>637</v>
      </c>
      <c r="G11" s="93"/>
      <c r="H11" s="92"/>
      <c r="I11" s="92"/>
      <c r="J11" s="92"/>
      <c r="K11" s="92"/>
      <c r="L11" s="92"/>
      <c r="M11" s="92"/>
      <c r="N11" s="92"/>
    </row>
    <row r="12" spans="1:14" ht="30">
      <c r="A12" s="4">
        <v>10</v>
      </c>
      <c r="B12" s="93" t="s">
        <v>639</v>
      </c>
      <c r="C12" s="93" t="s">
        <v>638</v>
      </c>
      <c r="D12" s="93">
        <v>2</v>
      </c>
      <c r="E12" s="93">
        <v>1</v>
      </c>
      <c r="F12" s="93" t="s">
        <v>640</v>
      </c>
      <c r="G12" s="93"/>
      <c r="H12" s="92"/>
      <c r="I12" s="92"/>
      <c r="J12" s="92"/>
      <c r="K12" s="92"/>
      <c r="L12" s="92"/>
      <c r="M12" s="92"/>
      <c r="N12" s="92"/>
    </row>
    <row r="13" spans="1:14">
      <c r="A13" s="4">
        <v>11</v>
      </c>
      <c r="B13" s="93" t="s">
        <v>642</v>
      </c>
      <c r="C13" s="93" t="s">
        <v>641</v>
      </c>
      <c r="D13" s="93">
        <v>2</v>
      </c>
      <c r="E13" s="93">
        <v>1</v>
      </c>
      <c r="F13" s="93" t="s">
        <v>640</v>
      </c>
      <c r="G13" s="93"/>
      <c r="H13" s="92"/>
      <c r="I13" s="92"/>
      <c r="J13" s="92"/>
      <c r="K13" s="92"/>
      <c r="L13" s="92"/>
      <c r="M13" s="92"/>
      <c r="N13" s="92"/>
    </row>
    <row r="14" spans="1:14" ht="30">
      <c r="A14" s="4">
        <v>12</v>
      </c>
      <c r="B14" s="93" t="s">
        <v>644</v>
      </c>
      <c r="C14" s="93" t="s">
        <v>643</v>
      </c>
      <c r="D14" s="93">
        <v>2</v>
      </c>
      <c r="E14" s="93">
        <v>1</v>
      </c>
      <c r="F14" s="93" t="s">
        <v>640</v>
      </c>
      <c r="G14" s="93"/>
      <c r="H14" s="92"/>
      <c r="I14" s="92"/>
      <c r="J14" s="92"/>
      <c r="K14" s="92"/>
      <c r="L14" s="92"/>
      <c r="M14" s="92"/>
      <c r="N14" s="92"/>
    </row>
    <row r="15" spans="1:14">
      <c r="A15" s="4">
        <v>13</v>
      </c>
      <c r="B15" s="93" t="s">
        <v>646</v>
      </c>
      <c r="C15" s="93" t="s">
        <v>645</v>
      </c>
      <c r="D15" s="93">
        <v>2</v>
      </c>
      <c r="E15" s="93">
        <v>1</v>
      </c>
      <c r="F15" s="93" t="s">
        <v>640</v>
      </c>
      <c r="G15" s="93"/>
      <c r="H15" s="92"/>
      <c r="I15" s="92"/>
      <c r="J15" s="92"/>
      <c r="K15" s="92"/>
      <c r="L15" s="92"/>
      <c r="M15" s="92"/>
      <c r="N15" s="92"/>
    </row>
    <row r="16" spans="1:14" ht="30">
      <c r="A16" s="4">
        <v>14</v>
      </c>
      <c r="B16" s="93" t="s">
        <v>648</v>
      </c>
      <c r="C16" s="93" t="s">
        <v>647</v>
      </c>
      <c r="D16" s="93">
        <v>2</v>
      </c>
      <c r="E16" s="93">
        <v>1</v>
      </c>
      <c r="F16" s="93" t="s">
        <v>640</v>
      </c>
      <c r="G16" s="93"/>
      <c r="H16" s="92"/>
      <c r="I16" s="92"/>
      <c r="J16" s="92"/>
      <c r="K16" s="92"/>
      <c r="L16" s="92"/>
      <c r="M16" s="92"/>
      <c r="N16" s="92"/>
    </row>
    <row r="17" spans="1:14">
      <c r="A17" s="4">
        <v>15</v>
      </c>
      <c r="B17" s="93" t="s">
        <v>649</v>
      </c>
      <c r="C17" s="93" t="s">
        <v>653</v>
      </c>
      <c r="D17" s="93">
        <v>2</v>
      </c>
      <c r="E17" s="93">
        <v>1</v>
      </c>
      <c r="F17" s="93" t="s">
        <v>661</v>
      </c>
      <c r="G17" s="93"/>
      <c r="H17" s="92"/>
      <c r="I17" s="92"/>
      <c r="J17" s="92"/>
      <c r="K17" s="92"/>
      <c r="L17" s="92"/>
      <c r="M17" s="92"/>
      <c r="N17" s="92"/>
    </row>
    <row r="18" spans="1:14">
      <c r="A18" s="4">
        <v>16</v>
      </c>
      <c r="B18" s="93" t="s">
        <v>650</v>
      </c>
      <c r="C18" s="93" t="s">
        <v>654</v>
      </c>
      <c r="D18" s="93">
        <v>2</v>
      </c>
      <c r="E18" s="93">
        <v>1</v>
      </c>
      <c r="F18" s="93" t="s">
        <v>661</v>
      </c>
      <c r="G18" s="93"/>
      <c r="H18" s="92"/>
      <c r="I18" s="92"/>
      <c r="J18" s="92"/>
      <c r="K18" s="92"/>
      <c r="L18" s="92"/>
      <c r="M18" s="92"/>
      <c r="N18" s="92"/>
    </row>
    <row r="19" spans="1:14">
      <c r="A19" s="4">
        <v>17</v>
      </c>
      <c r="B19" s="93" t="s">
        <v>651</v>
      </c>
      <c r="C19" s="93" t="s">
        <v>655</v>
      </c>
      <c r="D19" s="93">
        <v>2</v>
      </c>
      <c r="E19" s="93">
        <v>1</v>
      </c>
      <c r="F19" s="93" t="s">
        <v>661</v>
      </c>
      <c r="G19" s="93"/>
      <c r="H19" s="92"/>
      <c r="I19" s="92"/>
      <c r="J19" s="92"/>
      <c r="K19" s="92"/>
      <c r="L19" s="92"/>
      <c r="M19" s="92"/>
      <c r="N19" s="92"/>
    </row>
    <row r="20" spans="1:14">
      <c r="A20" s="4">
        <v>18</v>
      </c>
      <c r="B20" s="93" t="s">
        <v>652</v>
      </c>
      <c r="C20" s="93" t="s">
        <v>656</v>
      </c>
      <c r="D20" s="93">
        <v>2</v>
      </c>
      <c r="E20" s="93">
        <v>1</v>
      </c>
      <c r="F20" s="93" t="s">
        <v>661</v>
      </c>
      <c r="G20" s="93"/>
      <c r="H20" s="92"/>
      <c r="I20" s="92"/>
      <c r="J20" s="92"/>
      <c r="K20" s="92"/>
      <c r="L20" s="92"/>
      <c r="M20" s="92"/>
      <c r="N20" s="92"/>
    </row>
    <row r="21" spans="1:14">
      <c r="A21" s="4">
        <v>19</v>
      </c>
      <c r="B21" s="93" t="s">
        <v>657</v>
      </c>
      <c r="C21" s="93" t="s">
        <v>659</v>
      </c>
      <c r="D21" s="93">
        <v>2</v>
      </c>
      <c r="E21" s="93">
        <v>1</v>
      </c>
      <c r="F21" s="93" t="s">
        <v>662</v>
      </c>
      <c r="G21" s="93"/>
      <c r="H21" s="92"/>
      <c r="I21" s="92"/>
      <c r="J21" s="92"/>
      <c r="K21" s="92"/>
      <c r="L21" s="92"/>
      <c r="M21" s="92"/>
      <c r="N21" s="92"/>
    </row>
    <row r="22" spans="1:14">
      <c r="A22" s="4">
        <v>20</v>
      </c>
      <c r="B22" s="93" t="s">
        <v>658</v>
      </c>
      <c r="C22" s="93" t="s">
        <v>660</v>
      </c>
      <c r="D22" s="93">
        <v>2</v>
      </c>
      <c r="E22" s="93">
        <v>1</v>
      </c>
      <c r="F22" s="93" t="s">
        <v>663</v>
      </c>
      <c r="G22" s="93"/>
      <c r="H22" s="92"/>
      <c r="I22" s="92"/>
      <c r="J22" s="92"/>
      <c r="K22" s="92"/>
      <c r="L22" s="92"/>
      <c r="M22" s="92"/>
      <c r="N22" s="92"/>
    </row>
    <row r="23" spans="1:14">
      <c r="A23" s="4">
        <v>21</v>
      </c>
      <c r="B23" s="93"/>
      <c r="C23" s="93"/>
      <c r="D23" s="93"/>
      <c r="E23" s="93"/>
      <c r="F23" s="93"/>
      <c r="G23" s="93"/>
      <c r="H23" s="92"/>
      <c r="I23" s="92"/>
      <c r="J23" s="92"/>
      <c r="K23" s="92"/>
      <c r="L23" s="92"/>
      <c r="M23" s="92"/>
      <c r="N23" s="92"/>
    </row>
    <row r="24" spans="1:14">
      <c r="A24" s="4">
        <v>22</v>
      </c>
      <c r="B24" s="93"/>
      <c r="C24" s="93"/>
      <c r="D24" s="93"/>
      <c r="E24" s="93"/>
      <c r="F24" s="93"/>
      <c r="G24" s="93"/>
      <c r="H24" s="92"/>
      <c r="I24" s="92"/>
      <c r="J24" s="92"/>
      <c r="K24" s="92"/>
      <c r="L24" s="92"/>
      <c r="M24" s="92"/>
      <c r="N24" s="92"/>
    </row>
  </sheetData>
  <mergeCells count="1">
    <mergeCell ref="A1:N1"/>
  </mergeCells>
  <pageMargins left="0.7" right="0.7" top="0.75" bottom="0.75" header="0.3" footer="0.3"/>
  <pageSetup scale="6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E21" sqref="E21"/>
    </sheetView>
  </sheetViews>
  <sheetFormatPr defaultRowHeight="15"/>
  <cols>
    <col min="1" max="1" width="19.28515625" customWidth="1"/>
    <col min="2" max="2" width="22.42578125" customWidth="1"/>
  </cols>
  <sheetData>
    <row r="1" spans="1:9">
      <c r="A1" s="80" t="s">
        <v>566</v>
      </c>
      <c r="B1" s="81"/>
      <c r="C1" s="82" t="s">
        <v>566</v>
      </c>
      <c r="D1" s="83" t="s">
        <v>567</v>
      </c>
      <c r="E1" s="84" t="s">
        <v>568</v>
      </c>
      <c r="F1" s="83" t="s">
        <v>569</v>
      </c>
      <c r="G1" s="84" t="s">
        <v>570</v>
      </c>
      <c r="H1" s="82" t="s">
        <v>571</v>
      </c>
      <c r="I1" s="82" t="s">
        <v>572</v>
      </c>
    </row>
    <row r="2" spans="1:9">
      <c r="A2" s="83" t="s">
        <v>573</v>
      </c>
      <c r="B2" s="81"/>
      <c r="C2" s="82" t="s">
        <v>573</v>
      </c>
      <c r="D2" s="83" t="s">
        <v>574</v>
      </c>
      <c r="E2" s="84" t="s">
        <v>575</v>
      </c>
      <c r="F2" s="83" t="s">
        <v>576</v>
      </c>
      <c r="G2" s="85" t="s">
        <v>577</v>
      </c>
      <c r="H2" s="82" t="s">
        <v>578</v>
      </c>
      <c r="I2" s="82" t="s">
        <v>579</v>
      </c>
    </row>
    <row r="3" spans="1:9">
      <c r="A3" s="83" t="s">
        <v>573</v>
      </c>
      <c r="B3" s="81"/>
      <c r="C3" s="82" t="s">
        <v>573</v>
      </c>
      <c r="D3" s="83" t="s">
        <v>574</v>
      </c>
      <c r="E3" s="84" t="s">
        <v>580</v>
      </c>
      <c r="F3" s="83" t="s">
        <v>581</v>
      </c>
      <c r="G3" s="85" t="s">
        <v>577</v>
      </c>
      <c r="H3" s="82" t="s">
        <v>578</v>
      </c>
      <c r="I3" s="82" t="s">
        <v>579</v>
      </c>
    </row>
    <row r="4" spans="1:9">
      <c r="A4" s="86" t="s">
        <v>582</v>
      </c>
      <c r="B4" s="87"/>
      <c r="C4" s="88" t="s">
        <v>583</v>
      </c>
      <c r="D4" s="89" t="s">
        <v>584</v>
      </c>
      <c r="E4" s="90" t="s">
        <v>585</v>
      </c>
      <c r="F4" s="83" t="s">
        <v>586</v>
      </c>
      <c r="G4" s="85" t="s">
        <v>577</v>
      </c>
    </row>
    <row r="5" spans="1:9">
      <c r="A5" s="86" t="s">
        <v>587</v>
      </c>
      <c r="B5" s="87"/>
      <c r="C5" s="88" t="s">
        <v>583</v>
      </c>
      <c r="D5" s="89" t="s">
        <v>584</v>
      </c>
      <c r="E5" s="90" t="s">
        <v>588</v>
      </c>
      <c r="F5" s="83" t="s">
        <v>589</v>
      </c>
      <c r="G5" s="85" t="s">
        <v>577</v>
      </c>
    </row>
    <row r="6" spans="1:9">
      <c r="A6" s="86" t="s">
        <v>590</v>
      </c>
      <c r="B6" s="87"/>
      <c r="C6" s="88" t="s">
        <v>583</v>
      </c>
      <c r="D6" s="89" t="s">
        <v>584</v>
      </c>
      <c r="E6" s="90" t="s">
        <v>591</v>
      </c>
      <c r="F6" s="83" t="s">
        <v>592</v>
      </c>
      <c r="G6" s="85" t="s">
        <v>577</v>
      </c>
    </row>
    <row r="7" spans="1:9">
      <c r="A7" s="88" t="s">
        <v>593</v>
      </c>
      <c r="B7" s="91"/>
      <c r="C7" s="90"/>
      <c r="D7" s="91" t="s">
        <v>594</v>
      </c>
      <c r="E7" s="90" t="s">
        <v>595</v>
      </c>
      <c r="F7" s="83" t="s">
        <v>596</v>
      </c>
      <c r="G7" s="85" t="s">
        <v>577</v>
      </c>
    </row>
    <row r="8" spans="1:9">
      <c r="A8" s="88" t="s">
        <v>593</v>
      </c>
      <c r="B8" s="91"/>
      <c r="C8" s="90"/>
      <c r="D8" s="91" t="s">
        <v>594</v>
      </c>
      <c r="E8" s="90" t="s">
        <v>597</v>
      </c>
      <c r="F8" s="83" t="s">
        <v>598</v>
      </c>
      <c r="G8" s="85" t="s">
        <v>577</v>
      </c>
    </row>
    <row r="9" spans="1:9">
      <c r="A9" s="88" t="s">
        <v>593</v>
      </c>
      <c r="B9" s="91"/>
      <c r="C9" s="90"/>
      <c r="D9" s="91" t="s">
        <v>594</v>
      </c>
      <c r="E9" s="90" t="s">
        <v>599</v>
      </c>
      <c r="F9" s="83" t="s">
        <v>600</v>
      </c>
      <c r="G9" s="85" t="s">
        <v>577</v>
      </c>
    </row>
    <row r="10" spans="1:9">
      <c r="A10" s="88" t="s">
        <v>593</v>
      </c>
      <c r="B10" s="91"/>
      <c r="C10" s="90"/>
      <c r="D10" s="91" t="s">
        <v>594</v>
      </c>
      <c r="E10" s="90" t="s">
        <v>601</v>
      </c>
      <c r="F10" s="83" t="s">
        <v>602</v>
      </c>
      <c r="G10" s="85" t="s">
        <v>577</v>
      </c>
    </row>
    <row r="11" spans="1:9">
      <c r="A11" s="88" t="s">
        <v>593</v>
      </c>
      <c r="B11" s="91"/>
      <c r="C11" s="90"/>
      <c r="D11" s="91" t="s">
        <v>594</v>
      </c>
      <c r="E11" s="90" t="s">
        <v>603</v>
      </c>
      <c r="F11" s="83" t="s">
        <v>604</v>
      </c>
      <c r="G11" s="85" t="s">
        <v>577</v>
      </c>
    </row>
    <row r="12" spans="1:9">
      <c r="A12" s="88" t="s">
        <v>593</v>
      </c>
      <c r="B12" s="91"/>
      <c r="C12" s="90"/>
      <c r="D12" s="91" t="s">
        <v>594</v>
      </c>
      <c r="E12" s="90" t="s">
        <v>605</v>
      </c>
      <c r="F12" s="83" t="s">
        <v>606</v>
      </c>
      <c r="G12" s="85" t="s">
        <v>577</v>
      </c>
    </row>
    <row r="13" spans="1:9">
      <c r="A13" s="88" t="s">
        <v>593</v>
      </c>
      <c r="B13" s="91"/>
      <c r="C13" s="90"/>
      <c r="D13" s="91" t="s">
        <v>594</v>
      </c>
      <c r="E13" s="90" t="s">
        <v>607</v>
      </c>
      <c r="F13" s="83" t="s">
        <v>608</v>
      </c>
      <c r="G13" s="85" t="s"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RTD</vt:lpstr>
      <vt:lpstr>LT</vt:lpstr>
      <vt:lpstr>PT</vt:lpstr>
      <vt:lpstr>FT</vt:lpstr>
      <vt:lpstr>MCV</vt:lpstr>
      <vt:lpstr>FSV&amp;PCV</vt:lpstr>
      <vt:lpstr>SOV</vt:lpstr>
      <vt:lpstr>POS'R</vt:lpstr>
      <vt:lpstr>LOAD CELL</vt:lpstr>
      <vt:lpstr>Analyser</vt:lpstr>
      <vt:lpstr>Sheet1</vt:lpstr>
      <vt:lpstr>AIR COMPRESSOR</vt:lpstr>
      <vt:lpstr>Sheet2</vt:lpstr>
      <vt:lpstr>'AIR COMPRESSOR'!Print_Area</vt:lpstr>
      <vt:lpstr>Analyser!Print_Area</vt:lpstr>
      <vt:lpstr>FT!Print_Area</vt:lpstr>
      <vt:lpstr>LT!Print_Area</vt:lpstr>
      <vt:lpstr>PT!Print_Area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2021-10-06T18:38:39Z</dcterms:modified>
</cp:coreProperties>
</file>